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hidden" name="Sheet2" sheetId="2" r:id="rId6"/>
    <sheet state="visible" name="All Item" sheetId="3" r:id="rId7"/>
    <sheet state="visible" name="Item Details" sheetId="4" r:id="rId8"/>
    <sheet state="visible" name="Cart" sheetId="5" r:id="rId9"/>
    <sheet state="visible" name="Checkout step one" sheetId="6" r:id="rId10"/>
    <sheet state="visible" name="Checkout step two" sheetId="7" r:id="rId11"/>
    <sheet state="visible" name="Checkout Complete" sheetId="8" r:id="rId12"/>
  </sheets>
  <definedNames/>
  <calcPr/>
</workbook>
</file>

<file path=xl/sharedStrings.xml><?xml version="1.0" encoding="utf-8"?>
<sst xmlns="http://schemas.openxmlformats.org/spreadsheetml/2006/main" count="1606" uniqueCount="732">
  <si>
    <t>必要テスト件数</t>
  </si>
  <si>
    <t>画面ID</t>
  </si>
  <si>
    <t>Login</t>
  </si>
  <si>
    <t>更新日</t>
  </si>
  <si>
    <t>総テスト数</t>
  </si>
  <si>
    <t>作成者：</t>
  </si>
  <si>
    <t>ニー</t>
  </si>
  <si>
    <t>レビュアー：</t>
  </si>
  <si>
    <t>※コメントでレビュー実施</t>
  </si>
  <si>
    <t>対象端末数</t>
  </si>
  <si>
    <t>総消化数</t>
  </si>
  <si>
    <t>No</t>
  </si>
  <si>
    <t>区分</t>
  </si>
  <si>
    <t>ケース数</t>
  </si>
  <si>
    <t>備考</t>
  </si>
  <si>
    <t>ここが０、かつ→</t>
  </si>
  <si>
    <t>残りテスト件数</t>
  </si>
  <si>
    <t>正常系</t>
  </si>
  <si>
    <t>OK数</t>
  </si>
  <si>
    <t>異常系</t>
  </si>
  <si>
    <t>ここが０になれば完了（FixedとNGの数が0）→</t>
  </si>
  <si>
    <t>残バグ数</t>
  </si>
  <si>
    <t>ここはOK(Fixed)の数。バグが起こった履歴を残す→</t>
  </si>
  <si>
    <t>バグ発生履歴数:OK(Fixed)</t>
  </si>
  <si>
    <t>観点</t>
  </si>
  <si>
    <t>テスト対象外など
（Pending）</t>
  </si>
  <si>
    <t>全画面チェック</t>
  </si>
  <si>
    <t>境界値チェック</t>
  </si>
  <si>
    <t>テキストチェック</t>
  </si>
  <si>
    <t>テスト対象がない</t>
  </si>
  <si>
    <t>通信チェック</t>
  </si>
  <si>
    <t>課金チェック</t>
  </si>
  <si>
    <t>BGM/SEチェック</t>
  </si>
  <si>
    <t>権利周りチェック</t>
  </si>
  <si>
    <t>フリーテスト</t>
  </si>
  <si>
    <t>シナリオテスト</t>
  </si>
  <si>
    <r>
      <rPr>
        <rFont val="Arial"/>
      </rPr>
      <t xml:space="preserve">URL: </t>
    </r>
    <r>
      <rPr>
        <rFont val="Arial"/>
        <color rgb="FF1155CC"/>
        <u/>
      </rPr>
      <t>https://www.saucedemo.com</t>
    </r>
  </si>
  <si>
    <t>＃</t>
  </si>
  <si>
    <t>大項目</t>
  </si>
  <si>
    <t>小項目</t>
  </si>
  <si>
    <t>前提条件</t>
  </si>
  <si>
    <t>テスト手順</t>
  </si>
  <si>
    <t>期待する結果</t>
  </si>
  <si>
    <t>テスト観点</t>
  </si>
  <si>
    <t>重要度</t>
  </si>
  <si>
    <t>URLアクセス</t>
  </si>
  <si>
    <t>URLへ正常アクセス</t>
  </si>
  <si>
    <t>ブラウザを起動する</t>
  </si>
  <si>
    <r>
      <t xml:space="preserve">① </t>
    </r>
    <r>
      <rPr>
        <rFont val="Times New Roman"/>
        <color rgb="FF1155CC"/>
        <sz val="9.0"/>
        <u/>
      </rPr>
      <t>https://www.saucedemo.com/</t>
    </r>
    <r>
      <rPr>
        <rFont val="Times New Roman"/>
        <sz val="9.0"/>
      </rPr>
      <t xml:space="preserve"> にアクセスする</t>
    </r>
  </si>
  <si>
    <t>ログイン画面が正常に表示される。</t>
  </si>
  <si>
    <t>タイトル</t>
  </si>
  <si>
    <t>タイトル表示確認</t>
  </si>
  <si>
    <t>ログイン画面を表示する</t>
  </si>
  <si>
    <t>① タイトル「Swag Labs」を確認する</t>
  </si>
  <si>
    <t>「Swag Labs」が表示される。</t>
  </si>
  <si>
    <t>タイトルクリック</t>
  </si>
  <si>
    <t>① タイトル「Swag Labs」をクリックする</t>
  </si>
  <si>
    <t>画面遷移・画面更新・メッセージ表示などの動作が発生しない。</t>
  </si>
  <si>
    <t>Username入力欄</t>
  </si>
  <si>
    <t>Placeholder表示</t>
  </si>
  <si>
    <t>① Username入力欄を確認する</t>
  </si>
  <si>
    <t>Placeholder「Username」が表示される。</t>
  </si>
  <si>
    <t>入力可能確認</t>
  </si>
  <si>
    <t>① Username欄へ「standard_user」を入力する</t>
  </si>
  <si>
    <t>入力した文字が表示される。</t>
  </si>
  <si>
    <t>入力内容削除</t>
  </si>
  <si>
    <t>Usernameが入力済み</t>
  </si>
  <si>
    <t>① 入力文字を削除する</t>
  </si>
  <si>
    <t>Username欄が空になる。</t>
  </si>
  <si>
    <t>未入力バリデーション</t>
  </si>
  <si>
    <t>Username・Password未入力</t>
  </si>
  <si>
    <t>① Loginボタンをクリックする</t>
  </si>
  <si>
    <t>Username入力欄の下線が赤色になる。</t>
  </si>
  <si>
    <t>未入力エラーアイコン表示</t>
  </si>
  <si>
    <t>Username入力欄右側に「×」アイコンが表示される。</t>
  </si>
  <si>
    <t>Password入力欄</t>
  </si>
  <si>
    <t>① Password入力欄を確認する</t>
  </si>
  <si>
    <t>Placeholder「Password」が表示される。</t>
  </si>
  <si>
    <t>パスワード入力</t>
  </si>
  <si>
    <t>① Password欄へ「secret_sauce」を入力する</t>
  </si>
  <si>
    <t>入力文字がマスク表示される。</t>
  </si>
  <si>
    <t>Password入力済み</t>
  </si>
  <si>
    <t>Password欄が空になる。</t>
  </si>
  <si>
    <t>Username入力済み、Password未入力</t>
  </si>
  <si>
    <t>Password入力欄の下線が赤色になる。</t>
  </si>
  <si>
    <t>Password入力欄右側に「×」アイコンが表示される。</t>
  </si>
  <si>
    <t>Loginボタン</t>
  </si>
  <si>
    <t>ボタンUI表示</t>
  </si>
  <si>
    <t>① Loginボタンを確認する</t>
  </si>
  <si>
    <t>Loginボタンが表示される。</t>
  </si>
  <si>
    <t>クリック可能</t>
  </si>
  <si>
    <t>Login処理が実行される。</t>
  </si>
  <si>
    <t>Loginバリデーション</t>
  </si>
  <si>
    <t>① Username未入力 ② Password未入力 ③ Loginボタンをクリックする</t>
  </si>
  <si>
    <t>エラーメッセージ「Epic sadface: Username is required」が表示される。</t>
  </si>
  <si>
    <t>Username未入力</t>
  </si>
  <si>
    <t>① Passwordへ「secret_sauce」を入力する ② Username未入力のままLoginをクリックする</t>
  </si>
  <si>
    <t>Password未入力</t>
  </si>
  <si>
    <t>① Usernameへ「standard_user」を入力する ② Password未入力のままLoginをクリックする</t>
  </si>
  <si>
    <t>エラーメッセージ「Epic sadface: Password is required」が表示される。</t>
  </si>
  <si>
    <t>エラーメッセージ閉じる</t>
  </si>
  <si>
    <t>エラーメッセージ表示中</t>
  </si>
  <si>
    <t>① エラーメッセージ右側の「×」をクリックする</t>
  </si>
  <si>
    <t>エラーメッセージが非表示になる。画面がデフォルトUIへ戻る。</t>
  </si>
  <si>
    <t>エラー表示解除確認</t>
  </si>
  <si>
    <t>エラーメッセージを閉じた後</t>
  </si>
  <si>
    <t>① Username欄・Password欄を確認する</t>
  </si>
  <si>
    <t>赤色下線・入力欄右側の×アイコンが表示されない。</t>
  </si>
  <si>
    <t>正常ログイン（standard_user）</t>
  </si>
  <si>
    <t>① Username：「standard_user」入力 ② Password：「secret_sauce」入力 ③ Loginクリック</t>
  </si>
  <si>
    <t>All Items画面へ遷移する。</t>
  </si>
  <si>
    <t>正常ログイン（Accepted usernames）</t>
  </si>
  <si>
    <t>① Accepted usernames内の任意のUsername（例：problem_user）を入力する ② Password：「secret_sauce」入力 ③ Loginクリック</t>
  </si>
  <si>
    <t>存在しないUsername</t>
  </si>
  <si>
    <t>① Username：「abc123」入力 ② Password：「secret_sauce」入力 ③ Loginクリック</t>
  </si>
  <si>
    <t>エラーメッセージ「Epic sadface: Username and password do not match any user in this service」が表示される。</t>
  </si>
  <si>
    <t>Password誤り</t>
  </si>
  <si>
    <t>① Username：「standard_user」入力 ② Password：「123456」入力 ③ Loginクリック</t>
  </si>
  <si>
    <t>Username・Password両方誤り</t>
  </si>
  <si>
    <t>① Username：「abc123」入力 ② Password：「123456」入力 ③ Loginクリック</t>
  </si>
  <si>
    <t>プレーンテキスト</t>
  </si>
  <si>
    <t>Accepted usernamesタイトル表示</t>
  </si>
  <si>
    <t>① 画面下部を確認する</t>
  </si>
  <si>
    <t>「Accepted usernames are:」が表示される。</t>
  </si>
  <si>
    <t>Accepted usernames一覧表示</t>
  </si>
  <si>
    <t>① Username一覧を確認する</t>
  </si>
  <si>
    <t>以下のUsernameが表示される。・standard_user・locked_out_user・problem_user・performance_glitch_user・error_user・visual_user</t>
  </si>
  <si>
    <t>Passwordタイトル表示</t>
  </si>
  <si>
    <t>「Password for all users:」が表示される。</t>
  </si>
  <si>
    <t>共通Password表示</t>
  </si>
  <si>
    <t>① Password表示を確認する</t>
  </si>
  <si>
    <t>「secret_sauce」が表示される。</t>
  </si>
  <si>
    <t>Base URL: https://www.saucedemo.com/</t>
  </si>
  <si>
    <t>Các nội dung cần test như sau:</t>
  </si>
  <si>
    <t>1. Truye cập URL</t>
  </si>
  <si>
    <t>2. Title màn hình: hiển thị, click no action</t>
  </si>
  <si>
    <t>3. Field nhập username: placeholder field nhập, thao tác + validation nhập</t>
  </si>
  <si>
    <t>4. Field nhập password: placeholder field nhập, thao tác + validation nhập</t>
  </si>
  <si>
    <t>5. Button login: UI, thao tác khi click</t>
  </si>
  <si>
    <t>Trường hợp không nhập filed nào: line Ui chỗ field không nhập hiển thị màu đỏ, có icon x cuối field chưa nhập, hiển thị error msg trên button login</t>
  </si>
  <si>
    <t>không nhập username, error msg: Epic sadface: Username is required</t>
  </si>
  <si>
    <t>không nhập password, error msg: Epic sadface: Password is required</t>
  </si>
  <si>
    <t>→ nhấn x icon ở error msg, trở về UI default</t>
  </si>
  <si>
    <t>Login thành công, di chuyển đến màn hình All item</t>
  </si>
  <si>
    <t>Login bằng account sai or không tồn tại: msg error: Epic sadface: Username and password do not match any user in this service</t>
  </si>
  <si>
    <t>6. Vùng plain text như bên dưới trong ảnh: check UI</t>
  </si>
  <si>
    <t>giải thích: các username liệt kê trong mục Accepted usernames are được dùng là username hợp lệ, sử dụng một username bất kỳ trong list + password ở mục Password for all users sẽ login thành công vào web, di chuyển đến màn hình All Item</t>
  </si>
  <si>
    <t>Generate testcase bằng tiếng Nhật, theo format sau:</t>
  </si>
  <si>
    <r>
      <rPr>
        <rFont val="Arial"/>
      </rPr>
      <t xml:space="preserve">1. Ở màn hình cart (URL: </t>
    </r>
    <r>
      <rPr>
        <rFont val="Arial"/>
        <color rgb="FF1155CC"/>
        <u/>
      </rPr>
      <t>https://www.saucedemo.com/cart.html</t>
    </r>
    <r>
      <rPr>
        <rFont val="Arial"/>
      </rPr>
      <t xml:space="preserve"> ), nhấn vào button Checkout, di chuyển đến màn hình check out step one (URL: </t>
    </r>
    <r>
      <rPr>
        <rFont val="Arial"/>
        <color rgb="FF1155CC"/>
        <u/>
      </rPr>
      <t>https://www.saucedemo.com/checkout-step-one.html</t>
    </r>
    <r>
      <rPr>
        <rFont val="Arial"/>
      </rPr>
      <t xml:space="preserve"> )  </t>
    </r>
  </si>
  <si>
    <t>2. Title màn hình Swag Labs: check UI, nhấn không action</t>
  </si>
  <si>
    <t>3. Title Checkout: Your Information: check UI, nhấn không action</t>
  </si>
  <si>
    <t>4. Field nhập first name: placeholder field nhập, thao tác + validation nhập</t>
  </si>
  <si>
    <t>5. Field nhập last name: placeholder field nhập, thao tác + validation nhập</t>
  </si>
  <si>
    <t>6. Field nhập Zip/Postal Code: placeholder field nhập, thao tác + validation nhập</t>
  </si>
  <si>
    <t>7. Button Continue: UI, thao tác khi click</t>
  </si>
  <si>
    <t>không nhập First Name, error msg: Error: First Name is required</t>
  </si>
  <si>
    <t>không nhập Last Name, error msg: Error: Error: Last Name is required</t>
  </si>
  <si>
    <t>không nhập Zip/Postal Code, error msg: Error: Postal Code is required</t>
  </si>
  <si>
    <r>
      <rPr>
        <rFont val="Arial"/>
      </rPr>
      <t xml:space="preserve">8. Icon cart: hoạt động y hệt ở màn hình all item
nhấn icon di chuyển đến màn hình cart (URL: </t>
    </r>
    <r>
      <rPr>
        <rFont val="Arial"/>
        <color rgb="FF1155CC"/>
        <u/>
      </rPr>
      <t>https://www.saucedemo.com/cart.html</t>
    </r>
    <r>
      <rPr>
        <rFont val="Arial"/>
      </rPr>
      <t xml:space="preserve"> )</t>
    </r>
  </si>
  <si>
    <t>9. Button cancel: check UI, thao tác, click back lại màn hình cart (các sp, trạng thái màn hình cart phải được giữ)</t>
  </si>
  <si>
    <r>
      <rPr>
        <rFont val="Arial"/>
      </rPr>
      <t xml:space="preserve">1. Sau khi nhấn vào sản phẩm bất kỳ ở màn hình Inventory画面, URL của page hiển thị: </t>
    </r>
    <r>
      <rPr>
        <rFont val="Arial"/>
        <color rgb="FF1155CC"/>
        <u/>
      </rPr>
      <t>https://www.saucedemo.com/inventory-item.html?id=0</t>
    </r>
    <r>
      <rPr>
        <rFont val="Arial"/>
      </rPr>
      <t xml:space="preserve"> ("id=" = thay đổi theo id sản phẩm)</t>
    </r>
  </si>
  <si>
    <t>3. Button ←  Back to products: check UI, Nhấn trở về màn hình All item URL là「https://www.saucedemo.com/inventory.html」</t>
  </si>
  <si>
    <t>4. Module Product: Hiển thị danh sách sản phẩm (title sản phẩm, chi tiết mô tả sản phẩm, giá, button add to cart, ảnh sản phẩm)
Nhấn vào title sản phẩm / ảnh sản phẩm / mô tả / giá sp: no action</t>
  </si>
  <si>
    <t>5. Button add to cart / remove: check UI, hiển thị button tuỳ sp đó đã được add vào cart hay chưa; nhấn thì icon cart thay đổi số lượng tương ứng, button đổi thành remove =&gt; nhấn button remove thì sp bị xoá khỏi cart (icon cart update số lượng tương ứng), chuyển lại thành button add to cart)</t>
  </si>
  <si>
    <t>6. Icon cart: hoạt động y hệt ở màn hình all item
Tham khảo testcase phần cart của màn hình trước:</t>
  </si>
  <si>
    <t>7. Có thể scroll màn hình</t>
  </si>
  <si>
    <r>
      <rPr>
        <rFont val="Arial"/>
      </rPr>
      <t xml:space="preserve">1. Ở màn hình cart (URL: </t>
    </r>
    <r>
      <rPr>
        <rFont val="Arial"/>
        <color rgb="FF1155CC"/>
        <u/>
      </rPr>
      <t>https://www.saucedemo.com/cart.html</t>
    </r>
    <r>
      <rPr>
        <rFont val="Arial"/>
      </rPr>
      <t xml:space="preserve"> ), nhấn vào button Checkout, di chuyển đến màn hình check out step one (URL: </t>
    </r>
    <r>
      <rPr>
        <rFont val="Arial"/>
        <color rgb="FF1155CC"/>
        <u/>
      </rPr>
      <t>https://www.saucedemo.com/checkout-step-one.html</t>
    </r>
    <r>
      <rPr>
        <rFont val="Arial"/>
      </rPr>
      <t xml:space="preserve"> )  </t>
    </r>
  </si>
  <si>
    <r>
      <rPr>
        <rFont val="Arial"/>
      </rPr>
      <t xml:space="preserve">8. Icon cart: hoạt động y hệt ở màn hình all item
nhấn icon di chuyển đến màn hình cart (URL: </t>
    </r>
    <r>
      <rPr>
        <rFont val="Arial"/>
        <color rgb="FF1155CC"/>
        <u/>
      </rPr>
      <t>https://www.saucedemo.com/cart.html</t>
    </r>
    <r>
      <rPr>
        <rFont val="Arial"/>
      </rPr>
      <t xml:space="preserve"> )</t>
    </r>
  </si>
  <si>
    <r>
      <rPr>
        <rFont val="Arial"/>
      </rPr>
      <t xml:space="preserve">1. Ở màn hình check out step one (URL: </t>
    </r>
    <r>
      <rPr>
        <rFont val="Arial"/>
        <color rgb="FF1155CC"/>
        <u/>
      </rPr>
      <t>https://www.saucedemo.com/checkout-step-one.html)</t>
    </r>
    <r>
      <rPr>
        <rFont val="Arial"/>
      </rPr>
      <t xml:space="preserve"> , nhập đủ field nhâns vào button Continue, di chuyển đến màn hình checkout step two: </t>
    </r>
    <r>
      <rPr>
        <rFont val="Arial"/>
        <color rgb="FF1155CC"/>
        <u/>
      </rPr>
      <t>https://www.saucedemo.com/checkout-step-two.html</t>
    </r>
    <r>
      <rPr>
        <rFont val="Arial"/>
      </rPr>
      <t xml:space="preserve"> </t>
    </r>
  </si>
  <si>
    <t>3. Title Checkout: Overview: check UI, nhấn không action</t>
  </si>
  <si>
    <t>4. Title QTY: check UI, nhấn không action</t>
  </si>
  <si>
    <t>5. Title Description: check UI, nhấn không action</t>
  </si>
  <si>
    <t>6. Module Product: Hiển thị danh sách sản phẩm đã được add to cart (title sản phẩm, chi tiết mô tả sản phẩm, giá, button remove, quantity của sản phẩm)
Hover vào title sp text đổi màu
Nhấn vào title sp di chuyển tơids màn hình item details tương ứng
Nhấn vào chi tiết mô tả sản phẩm, giá, quantity của sản phẩm) =&gt; no action</t>
  </si>
  <si>
    <t>7. Payment Information: check UI title, thông tin Payment information, nhấn Ui hay thông tin đều no action</t>
  </si>
  <si>
    <t>8. Shipping Information: check UI title, thông tin Shipping information, nhấn Ui hay thông tin đều no action</t>
  </si>
  <si>
    <t>9. Price Total: check UI title, thông tin Price Total, nhấn Ui hay thông tin đều no action</t>
  </si>
  <si>
    <r>
      <rPr>
        <rFont val="Arial"/>
      </rPr>
      <t xml:space="preserve">10. Icon cart: hoạt động y hệt ở màn hình all item
nhấn icon di chuyển đến màn hình cart (URL: </t>
    </r>
    <r>
      <rPr>
        <rFont val="Arial"/>
        <color rgb="FF1155CC"/>
        <u/>
      </rPr>
      <t>https://www.saucedemo.com/cart.html</t>
    </r>
    <r>
      <rPr>
        <rFont val="Arial"/>
      </rPr>
      <t xml:space="preserve"> )</t>
    </r>
  </si>
  <si>
    <r>
      <rPr>
        <rFont val="Arial"/>
      </rPr>
      <t xml:space="preserve">11. Button cancel: check UI, thao tác, click back lại màn hình check out step one (URL: </t>
    </r>
    <r>
      <rPr>
        <rFont val="Arial"/>
        <color rgb="FF1155CC"/>
        <u/>
      </rPr>
      <t>https://www.saucedemo.com/checkout-step-one.html</t>
    </r>
    <r>
      <rPr>
        <rFont val="Arial"/>
      </rPr>
      <t xml:space="preserve"> ) </t>
    </r>
  </si>
  <si>
    <r>
      <rPr>
        <rFont val="Arial"/>
      </rPr>
      <t xml:space="preserve">12. Button Finish: check UI, thao tác, click  sẽ di chuyển đến màn hình Checkout Complete: </t>
    </r>
    <r>
      <rPr>
        <rFont val="Arial"/>
        <color rgb="FF1155CC"/>
        <u/>
      </rPr>
      <t>https://www.saucedemo.com/checkout-complete.html</t>
    </r>
    <r>
      <rPr>
        <rFont val="Arial"/>
      </rPr>
      <t xml:space="preserve"> </t>
    </r>
  </si>
  <si>
    <r>
      <rPr>
        <rFont val="Arial"/>
      </rPr>
      <t xml:space="preserve">1. Ở màn hình check out step two (URL: </t>
    </r>
    <r>
      <rPr>
        <rFont val="Arial"/>
        <color rgb="FF1155CC"/>
        <u/>
      </rPr>
      <t>https://www.saucedemo.com/checkout-step-two.html)</t>
    </r>
    <r>
      <rPr>
        <rFont val="Arial"/>
      </rPr>
      <t xml:space="preserve"> , nhấn button Finish sẽ di chuyển đến màn hình Checkout Complete </t>
    </r>
    <r>
      <rPr>
        <rFont val="Arial"/>
        <color rgb="FF1155CC"/>
        <u/>
      </rPr>
      <t>https://www.saucedemo.com/checkout-complete.html</t>
    </r>
    <r>
      <rPr>
        <rFont val="Arial"/>
      </rPr>
      <t xml:space="preserve"> </t>
    </r>
  </si>
  <si>
    <t>3. Title Checkout: Complete!: check UI, nhấn không action</t>
  </si>
  <si>
    <t>4. Icon complete: : check UI, nhấn không action</t>
  </si>
  <si>
    <t>5. Text "Thank you for your order!": check UI, nhấn không action</t>
  </si>
  <si>
    <t>6. Text "Your order has been dispatched, and will arrive just as fast as the pony can get there!": check UI, nhấn không action</t>
  </si>
  <si>
    <r>
      <rPr/>
      <t xml:space="preserve">7. Back Home: check Ui, nhấn back về màn hình all item: URL: </t>
    </r>
    <r>
      <rPr>
        <color rgb="FF1155CC"/>
        <u/>
      </rPr>
      <t>https://www.saucedemo.com/inventory.html</t>
    </r>
  </si>
  <si>
    <r>
      <rPr>
        <rFont val="Arial"/>
      </rPr>
      <t xml:space="preserve">8. Icon cart: hoạt động y hệt ở màn hình all item
nhấn icon di chuyển đến màn hình cart (URL: </t>
    </r>
    <r>
      <rPr>
        <rFont val="Arial"/>
        <color rgb="FF1155CC"/>
        <u/>
      </rPr>
      <t>https://www.saucedemo.com/cart.html</t>
    </r>
    <r>
      <rPr>
        <rFont val="Arial"/>
      </rPr>
      <t xml:space="preserve"> )</t>
    </r>
  </si>
  <si>
    <r>
      <rPr>
        <rFont val="Arial"/>
      </rPr>
      <t xml:space="preserve">1. Ở màn hình inventory画面 (URL: </t>
    </r>
    <r>
      <rPr>
        <rFont val="Arial"/>
        <color rgb="FF1155CC"/>
        <u/>
      </rPr>
      <t>https://www.saucedemo.com/inventory.html)</t>
    </r>
    <r>
      <rPr>
        <rFont val="Arial"/>
      </rPr>
      <t xml:space="preserve"> hoặc item details (URL:</t>
    </r>
    <r>
      <rPr>
        <rFont val="Arial"/>
        <color rgb="FF1155CC"/>
        <u/>
      </rPr>
      <t>https://www.saucedemo.com/inventory-item.html?id=0</t>
    </r>
    <r>
      <rPr>
        <rFont val="Arial"/>
      </rPr>
      <t xml:space="preserve"> ), nhấn vào icon cart =&gt; di chuyển tới màn hình cart (URL: </t>
    </r>
    <r>
      <rPr>
        <rFont val="Arial"/>
        <color rgb="FF1155CC"/>
        <u/>
      </rPr>
      <t>https://www.saucedemo.com/cart.html</t>
    </r>
    <r>
      <rPr>
        <rFont val="Arial"/>
      </rPr>
      <t xml:space="preserve"> )</t>
    </r>
  </si>
  <si>
    <t>3. Title Your cart: check UI, nhấn không action</t>
  </si>
  <si>
    <t>7. Button remove: check UI, nhấn button remove thì sp bị xoá khỏi cart (icon cart update số lượng tương ứng) + list sp</t>
  </si>
  <si>
    <t>8. Icon cart: hoạt động y hệt ở màn hình all item
Nhưng nhấn no action</t>
  </si>
  <si>
    <r>
      <rPr>
        <rFont val="Arial"/>
      </rPr>
      <t xml:space="preserve">9. Button continue shopping: check UI, nhấn back về màn hình inventory画面 (URL: </t>
    </r>
    <r>
      <rPr>
        <rFont val="Arial"/>
        <color rgb="FF1155CC"/>
        <u/>
      </rPr>
      <t>https://www.saucedemo.com/inventory.html</t>
    </r>
    <r>
      <rPr>
        <rFont val="Arial"/>
      </rPr>
      <t xml:space="preserve"> ) </t>
    </r>
  </si>
  <si>
    <r>
      <rPr>
        <rFont val="Arial"/>
      </rPr>
      <t xml:space="preserve">10. Button checkout: check UI, nhấn di chuyển đến màn hình check out step one (URL: </t>
    </r>
    <r>
      <rPr>
        <rFont val="Arial"/>
        <color rgb="FF1155CC"/>
        <u/>
      </rPr>
      <t>https://www.saucedemo.com/checkout-step-one.html</t>
    </r>
    <r>
      <rPr>
        <rFont val="Arial"/>
      </rPr>
      <t xml:space="preserve"> ) </t>
    </r>
  </si>
  <si>
    <t>11. Có thể scroll màn hình</t>
  </si>
  <si>
    <t>All Item</t>
  </si>
  <si>
    <r>
      <rPr>
        <rFont val="Arial"/>
      </rPr>
      <t xml:space="preserve">URL: </t>
    </r>
    <r>
      <rPr>
        <rFont val="Arial"/>
        <color rgb="FF1155CC"/>
        <u/>
      </rPr>
      <t>https://www.saucedemo.com/inventory.html</t>
    </r>
  </si>
  <si>
    <t>URL</t>
  </si>
  <si>
    <t>Inventory画面URL表示</t>
  </si>
  <si>
    <t>standard_userでログイン済み</t>
  </si>
  <si>
    <t>ログイン成功後のURLを確認する</t>
  </si>
  <si>
    <r>
      <t>URLが「</t>
    </r>
    <r>
      <rPr>
        <rFont val="Times New Roman"/>
        <color rgb="FF1155CC"/>
        <sz val="9.0"/>
        <u/>
      </rPr>
      <t>https://www.saucedemo.com/inventory.html」である。</t>
    </r>
  </si>
  <si>
    <t>ヘッダー</t>
  </si>
  <si>
    <t>Swag Labsタイトル表示</t>
  </si>
  <si>
    <t>Inventory画面を表示する</t>
  </si>
  <si>
    <t>「Swag Labs」タイトルを確認する</t>
  </si>
  <si>
    <t>タイトル「Swag Labs」が表示される。</t>
  </si>
  <si>
    <t>Swag Labsタイトルクリック</t>
  </si>
  <si>
    <t>「Swag Labs」をクリックする</t>
  </si>
  <si>
    <t>ハンバーガーメニュー</t>
  </si>
  <si>
    <t>ハンバーガーアイコン表示</t>
  </si>
  <si>
    <t>ハンバーガーアイコンを確認する</t>
  </si>
  <si>
    <t>ハンバーガーアイコンが表示される。</t>
  </si>
  <si>
    <t>メニュー表示</t>
  </si>
  <si>
    <t>ハンバーガーアイコンをクリックする</t>
  </si>
  <si>
    <t>サイドメニューが表示される。</t>
  </si>
  <si>
    <t>メニュー項目表示</t>
  </si>
  <si>
    <t>サイドメニューを表示する</t>
  </si>
  <si>
    <t>メニュー内容を確認する</t>
  </si>
  <si>
    <t>「All Items」「About」「Logout」「Reset App State」および「×」ボタンが表示される。</t>
  </si>
  <si>
    <t>Logout</t>
  </si>
  <si>
    <t>サイドメニューの「Logout」をクリックする。</t>
  </si>
  <si>
    <r>
      <t>ログアウトされ、ログイン画面へ遷移する。URLが「</t>
    </r>
    <r>
      <rPr>
        <rFont val="Times New Roman"/>
        <color rgb="FF1155CC"/>
        <sz val="9.0"/>
        <u/>
      </rPr>
      <t>https://www.saucedemo.com/」である。</t>
    </r>
  </si>
  <si>
    <t>メニューを閉じる</t>
  </si>
  <si>
    <t>「×」ボタンをクリックする</t>
  </si>
  <si>
    <t>サイドメニューが閉じる。</t>
  </si>
  <si>
    <t>Products</t>
  </si>
  <si>
    <t>Productsタイトル表示</t>
  </si>
  <si>
    <t>「Products」を確認する</t>
  </si>
  <si>
    <t>タイトル「Products」が表示される。</t>
  </si>
  <si>
    <t>Productsタイトルクリック</t>
  </si>
  <si>
    <t>「Products」をクリックする</t>
  </si>
  <si>
    <t>画面遷移・画面更新などの動作が発生しない。</t>
  </si>
  <si>
    <t>商品一覧</t>
  </si>
  <si>
    <t>商品一覧表示</t>
  </si>
  <si>
    <t>商品一覧を確認する</t>
  </si>
  <si>
    <t>商品一覧が表示される。</t>
  </si>
  <si>
    <t>商品タイトル表示</t>
  </si>
  <si>
    <t>各商品のタイトルを確認する</t>
  </si>
  <si>
    <t>商品タイトルが表示される。</t>
  </si>
  <si>
    <t>商品画像表示</t>
  </si>
  <si>
    <t>各商品の画像を確認する</t>
  </si>
  <si>
    <t>商品画像が表示される。</t>
  </si>
  <si>
    <t>商品説明表示</t>
  </si>
  <si>
    <t>各商品の説明を確認する</t>
  </si>
  <si>
    <t>商品説明が表示される。</t>
  </si>
  <si>
    <t>商品価格表示</t>
  </si>
  <si>
    <t>各商品の価格を確認する</t>
  </si>
  <si>
    <t>商品価格が表示される。</t>
  </si>
  <si>
    <t>Add to cartボタンUI表示</t>
  </si>
  <si>
    <t>Inventory画面を表示し、対象商品がカートへ追加されていない</t>
  </si>
  <si>
    <t>任意商品の「Add to cart」ボタンを確認する。</t>
  </si>
  <si>
    <t>「Add to cart」ボタンが表示され、クリック可能である。</t>
  </si>
  <si>
    <t>RemoveボタンUI表示</t>
  </si>
  <si>
    <t>Inventory画面を表示し、対象商品をカートへ追加済み</t>
  </si>
  <si>
    <t>任意商品の「Remove」ボタンを確認する。</t>
  </si>
  <si>
    <t>「Remove」ボタンが表示され、クリック可能である。</t>
  </si>
  <si>
    <t>商品説明クリック</t>
  </si>
  <si>
    <t>商品説明をクリックする</t>
  </si>
  <si>
    <t>商品価格クリック</t>
  </si>
  <si>
    <t>商品価格をクリックする</t>
  </si>
  <si>
    <t>商品詳細</t>
  </si>
  <si>
    <t>商品タイトルクリック</t>
  </si>
  <si>
    <t>任意の商品タイトルをクリックする</t>
  </si>
  <si>
    <t>商品詳細画面へ遷移する。</t>
  </si>
  <si>
    <t>商品画像クリック</t>
  </si>
  <si>
    <t>任意の商品画像をクリックする</t>
  </si>
  <si>
    <t>カート</t>
  </si>
  <si>
    <t>Add to cartクリック</t>
  </si>
  <si>
    <t>任意商品の「Add to cart」をクリックする</t>
  </si>
  <si>
    <t>商品がカートへ追加される。</t>
  </si>
  <si>
    <t>カート件数更新</t>
  </si>
  <si>
    <t>商品を1件追加済み</t>
  </si>
  <si>
    <t>カートアイコンを確認する</t>
  </si>
  <si>
    <t>カートバッジが「1」と表示される。</t>
  </si>
  <si>
    <t>ボタン表示変更</t>
  </si>
  <si>
    <t>商品ボタンを確認する</t>
  </si>
  <si>
    <t>「Add to cart」が「Remove」に変更される。</t>
  </si>
  <si>
    <t>Removeクリック</t>
  </si>
  <si>
    <t>商品を追加済み</t>
  </si>
  <si>
    <t>「Remove」をクリックする</t>
  </si>
  <si>
    <t>商品がカートから削除される。</t>
  </si>
  <si>
    <t>カート件数減少</t>
  </si>
  <si>
    <t>商品を削除済み</t>
  </si>
  <si>
    <t>カート件数が更新される（最後の商品を削除した場合はバッジが非表示）。</t>
  </si>
  <si>
    <t>ボタン表示復元</t>
  </si>
  <si>
    <t>ボタンが「Add to cart」に戻る。</t>
  </si>
  <si>
    <t>複数商品追加</t>
  </si>
  <si>
    <t>異なる商品を2件追加する</t>
  </si>
  <si>
    <t>カート件数が「2」と表示される。</t>
  </si>
  <si>
    <t>複数商品削除</t>
  </si>
  <si>
    <t>商品を2件追加済み</t>
  </si>
  <si>
    <t>商品を1件削除する</t>
  </si>
  <si>
    <t>カート件数が「1」と表示される。</t>
  </si>
  <si>
    <t>スクロール</t>
  </si>
  <si>
    <t>下方向スクロール</t>
  </si>
  <si>
    <t>ページ最下部までスクロールする</t>
  </si>
  <si>
    <t>最下部まで正常にスクロールできる。</t>
  </si>
  <si>
    <t>フッター表示</t>
  </si>
  <si>
    <t>最下部までスクロールする</t>
  </si>
  <si>
    <t>フッターを確認する</t>
  </si>
  <si>
    <t>フッターが表示される。</t>
  </si>
  <si>
    <t>上方向スクロール</t>
  </si>
  <si>
    <t>最下部を表示中</t>
  </si>
  <si>
    <t>ページ最上部までスクロールする</t>
  </si>
  <si>
    <t>最上部まで正常にスクロールできる。</t>
  </si>
  <si>
    <t>フィルター</t>
  </si>
  <si>
    <t>フィルタードロップダウン表示</t>
  </si>
  <si>
    <t>フィルタードロップダウンを確認する。</t>
  </si>
  <si>
    <t>フィルタードロップダウンが表示される。</t>
  </si>
  <si>
    <t>デフォルト値表示</t>
  </si>
  <si>
    <t>デフォルト値として「Name (A to Z)」が表示される。</t>
  </si>
  <si>
    <t>フィルター一覧表示</t>
  </si>
  <si>
    <t>フィルタードロップダウンをクリックする。</t>
  </si>
  <si>
    <t>以下の選択肢が表示される。・Name (A to Z)・Name (Z to A)・Price (low to high)・Price (high to low)</t>
  </si>
  <si>
    <t>Name (A to Z)選択</t>
  </si>
  <si>
    <t>① フィルタードロップダウンを開く。② 「Name (A to Z)」を選択する。</t>
  </si>
  <si>
    <t>商品一覧が商品名の昇順（A→Z）で表示される。</t>
  </si>
  <si>
    <t>Name (Z to A)選択</t>
  </si>
  <si>
    <t>① フィルタードロップダウンを開く。② 「Name (Z to A)」を選択する。</t>
  </si>
  <si>
    <t>商品一覧が商品名の降順（Z→A）で表示される。</t>
  </si>
  <si>
    <t>Price (low to high)選択</t>
  </si>
  <si>
    <t>① フィルタードロップダウンを開く。② 「Price (low to high)」を選択する。</t>
  </si>
  <si>
    <t>商品一覧が価格の昇順（安い→高い）で表示される。</t>
  </si>
  <si>
    <t>Price (high to low)選択</t>
  </si>
  <si>
    <t>① フィルタードロップダウンを開く。② 「Price (high to low)」を選択する。</t>
  </si>
  <si>
    <t>商品一覧が価格の降順（高い→安い）で表示される。</t>
  </si>
  <si>
    <t>カートアイコン表示</t>
  </si>
  <si>
    <t>カートアイコンを確認する。</t>
  </si>
  <si>
    <t>カートアイコンが表示される。</t>
  </si>
  <si>
    <t>カートアイコンUI（商品なし）</t>
  </si>
  <si>
    <t>Inventory画面を表示し、カートに商品がない</t>
  </si>
  <si>
    <t>カートアイコンが表示される。カート件数バッジが表示されない。</t>
  </si>
  <si>
    <t>カートアイコンUI（商品あり）</t>
  </si>
  <si>
    <t>Inventory画面を表示し、商品を1件以上カートに追加する</t>
  </si>
  <si>
    <t>カートアイコンが表示される。追加した商品数に応じた件数バッジが表示される。</t>
  </si>
  <si>
    <t>カート件数更新（追加）</t>
  </si>
  <si>
    <t>Inventory画面を表示し、カートが空である</t>
  </si>
  <si>
    <t>① 任意の商品を「Add to cart」で追加する。② カートアイコンを確認する。</t>
  </si>
  <si>
    <t>カート件数バッジが追加した商品数に更新される。</t>
  </si>
  <si>
    <t>カート件数更新（削除）</t>
  </si>
  <si>
    <t>商品を1件以上カートに追加済み</t>
  </si>
  <si>
    <t>① 「Remove」をクリックする。② カートアイコンを確認する。</t>
  </si>
  <si>
    <t>カート件数バッジが削除後の商品数に更新される。最後の商品を削除した場合、件数バッジは非表示になる。</t>
  </si>
  <si>
    <t>カートアイコンクリック</t>
  </si>
  <si>
    <t>カートアイコンをクリックする。</t>
  </si>
  <si>
    <r>
      <rPr>
        <rFont val="Times New Roman"/>
        <sz val="9.0"/>
      </rPr>
      <t>Cart画面へ遷移する。URLが「</t>
    </r>
    <r>
      <rPr>
        <rFont val="Times New Roman"/>
        <color rgb="FF1155CC"/>
        <sz val="9.0"/>
        <u/>
      </rPr>
      <t>https://www.saucedemo.com/cart.html」</t>
    </r>
    <r>
      <rPr>
        <rFont val="Times New Roman"/>
        <sz val="9.0"/>
      </rPr>
      <t>である。</t>
    </r>
  </si>
  <si>
    <t>Item Details</t>
  </si>
  <si>
    <r>
      <rPr>
        <rFont val="Arial"/>
      </rPr>
      <t xml:space="preserve">URL: </t>
    </r>
    <r>
      <rPr>
        <rFont val="Arial"/>
        <color rgb="FF1155CC"/>
        <u/>
      </rPr>
      <t>https://www.saucedemo.com/inventory-item.html?id=0</t>
    </r>
  </si>
  <si>
    <t>Product Detail画面URL表示</t>
  </si>
  <si>
    <t>① Inventory画面で任意の商品をクリックする。② URLを確認する。</t>
  </si>
  <si>
    <r>
      <rPr>
        <rFont val="Times New Roman"/>
        <sz val="9.0"/>
      </rPr>
      <t>URLが「</t>
    </r>
    <r>
      <rPr>
        <rFont val="Times New Roman"/>
        <color rgb="FF1155CC"/>
        <sz val="9.0"/>
        <u/>
      </rPr>
      <t>https://www.saucedemo.com/inventory-item.html?id=＜商品ID＞」</t>
    </r>
    <r>
      <rPr>
        <rFont val="Times New Roman"/>
        <sz val="9.0"/>
      </rPr>
      <t>である。</t>
    </r>
  </si>
  <si>
    <t>Product Detail画面を表示する</t>
  </si>
  <si>
    <t>「Swag Labs」タイトルを確認する。</t>
  </si>
  <si>
    <t>「Swag Labs」をクリックする。</t>
  </si>
  <si>
    <t>ハンバーガーアイコンを確認する。</t>
  </si>
  <si>
    <t>ハンバーガーアイコンをクリックする。</t>
  </si>
  <si>
    <t>メニュー内容を確認する。</t>
  </si>
  <si>
    <t>「Logout」をクリックする。</t>
  </si>
  <si>
    <r>
      <rPr>
        <rFont val="Times New Roman"/>
        <sz val="9.0"/>
      </rPr>
      <t>ログアウトされ、ログイン画面へ遷移する。URLが「</t>
    </r>
    <r>
      <rPr>
        <rFont val="Times New Roman"/>
        <color rgb="FF1155CC"/>
        <sz val="9.0"/>
        <u/>
      </rPr>
      <t>https://www.saucedemo.com/」</t>
    </r>
    <r>
      <rPr>
        <rFont val="Times New Roman"/>
        <sz val="9.0"/>
      </rPr>
      <t>である。</t>
    </r>
  </si>
  <si>
    <t>「×」ボタンをクリックする。</t>
  </si>
  <si>
    <t>Back to productsボタン</t>
  </si>
  <si>
    <t>Back to productsボタン表示</t>
  </si>
  <si>
    <t>「← Back to products」ボタンを確認する。</t>
  </si>
  <si>
    <t>ボタンが表示される。</t>
  </si>
  <si>
    <t>Back to productsクリック</t>
  </si>
  <si>
    <t>「← Back to products」をクリックする。</t>
  </si>
  <si>
    <r>
      <rPr>
        <rFont val="Times New Roman"/>
        <sz val="9.0"/>
      </rPr>
      <t>Inventory画面へ遷移する。URLが「</t>
    </r>
    <r>
      <rPr>
        <rFont val="Times New Roman"/>
        <color rgb="FF1155CC"/>
        <sz val="9.0"/>
        <u/>
      </rPr>
      <t>https://www.saucedemo.com/inventory.html」</t>
    </r>
    <r>
      <rPr>
        <rFont val="Times New Roman"/>
        <sz val="9.0"/>
      </rPr>
      <t>である。</t>
    </r>
  </si>
  <si>
    <t>商品情報</t>
  </si>
  <si>
    <t>商品画像を確認する。</t>
  </si>
  <si>
    <t>商品タイトルを確認する。</t>
  </si>
  <si>
    <t>商品説明を確認する。</t>
  </si>
  <si>
    <t>商品価格を確認する。</t>
  </si>
  <si>
    <t>Add to cartボタン表示</t>
  </si>
  <si>
    <t>対象商品が未追加</t>
  </si>
  <si>
    <t>商品ボタンを確認する。</t>
  </si>
  <si>
    <t>「Add to cart」ボタンが表示される。</t>
  </si>
  <si>
    <t>Removeボタン表示</t>
  </si>
  <si>
    <t>対象商品がカート追加済み</t>
  </si>
  <si>
    <t>「Remove」ボタンが表示される。</t>
  </si>
  <si>
    <t>商品タイトルをクリックする。</t>
  </si>
  <si>
    <t>商品説明をクリックする。</t>
  </si>
  <si>
    <t>商品価格をクリックする。</t>
  </si>
  <si>
    <t>商品画像をクリックする。</t>
  </si>
  <si>
    <t>Add to cart / Removeボタン</t>
  </si>
  <si>
    <t>「Add to cart」をクリックする。</t>
  </si>
  <si>
    <t>商品追加済み</t>
  </si>
  <si>
    <t>ボタン表示が「Remove」に変更される。</t>
  </si>
  <si>
    <t>「Remove」をクリックする。</t>
  </si>
  <si>
    <t>商品削除済み</t>
  </si>
  <si>
    <t>ボタン表示が「Add to cart」に戻る。</t>
  </si>
  <si>
    <t>カートが空</t>
  </si>
  <si>
    <t>カート件数バッジが表示されない。</t>
  </si>
  <si>
    <t>商品を1件以上追加済み</t>
  </si>
  <si>
    <t>追加した商品数に応じた件数バッジが表示される。</t>
  </si>
  <si>
    <t>①「Add to cart」をクリックする。②カートアイコンを確認する。</t>
  </si>
  <si>
    <t>件数バッジが追加した商品数に更新される。</t>
  </si>
  <si>
    <t>①「Remove」をクリックする。②カートアイコンを確認する。</t>
  </si>
  <si>
    <t>件数バッジが削除後の商品数に更新される。最後の商品を削除した場合、件数バッジは非表示になる。</t>
  </si>
  <si>
    <r>
      <t>Cart画面へ遷移する。URLが「</t>
    </r>
    <r>
      <rPr>
        <rFont val="Times New Roman"/>
        <color rgb="FF1155CC"/>
        <sz val="9.0"/>
        <u/>
      </rPr>
      <t>https://www.saucedemo.com/cart.html」である。</t>
    </r>
  </si>
  <si>
    <t>ページ最下部までスクロールする。</t>
  </si>
  <si>
    <t>フッターを確認する。</t>
  </si>
  <si>
    <t>ページ最上部までスクロールする。</t>
  </si>
  <si>
    <t>Cart</t>
  </si>
  <si>
    <r>
      <rPr>
        <rFont val="Arial"/>
      </rPr>
      <t xml:space="preserve">URL: </t>
    </r>
    <r>
      <rPr>
        <rFont val="Arial"/>
        <color rgb="FF1155CC"/>
        <u/>
      </rPr>
      <t>https://www.saucedemo.com/cart.html</t>
    </r>
    <r>
      <rPr>
        <rFont val="Arial"/>
      </rPr>
      <t xml:space="preserve"> </t>
    </r>
  </si>
  <si>
    <t>Cart画面URL表示</t>
  </si>
  <si>
    <t>Inventory画面またはItem Details画面を表示する</t>
  </si>
  <si>
    <t>カートアイコンをクリックする</t>
  </si>
  <si>
    <r>
      <rPr>
        <rFont val="Times New Roman"/>
        <sz val="9.0"/>
      </rPr>
      <t>Cart画面へ遷移する。URLが「</t>
    </r>
    <r>
      <rPr>
        <rFont val="Times New Roman"/>
        <color rgb="FF1155CC"/>
        <sz val="9.0"/>
        <u/>
      </rPr>
      <t>https://www.saucedemo.com/cart.html」</t>
    </r>
    <r>
      <rPr>
        <rFont val="Times New Roman"/>
        <sz val="9.0"/>
      </rPr>
      <t>である。</t>
    </r>
  </si>
  <si>
    <t>画面タイトル</t>
  </si>
  <si>
    <t>Cart画面を表示する</t>
  </si>
  <si>
    <t>「Swag Labs」を確認する</t>
  </si>
  <si>
    <r>
      <t>ログアウトされ、ログイン画面へ遷移する。URLが「</t>
    </r>
    <r>
      <rPr>
        <rFont val="Times New Roman"/>
        <color rgb="FF1155CC"/>
        <sz val="9.0"/>
        <u/>
      </rPr>
      <t>https://www.saucedemo.com/」である。</t>
    </r>
  </si>
  <si>
    <t>Header</t>
  </si>
  <si>
    <t>All Items</t>
  </si>
  <si>
    <t>「All Items」をクリックする</t>
  </si>
  <si>
    <r>
      <rPr>
        <rFont val="Times New Roman"/>
        <sz val="9.0"/>
      </rPr>
      <t>Inventory画面へ遷移する。URLが「</t>
    </r>
    <r>
      <rPr>
        <rFont val="Times New Roman"/>
        <color rgb="FF1155CC"/>
        <sz val="9.0"/>
        <u/>
      </rPr>
      <t>https://www.saucedemo.com/inventory.html」</t>
    </r>
    <r>
      <rPr>
        <rFont val="Times New Roman"/>
        <sz val="9.0"/>
      </rPr>
      <t>である。</t>
    </r>
  </si>
  <si>
    <t>「Logout」をクリックする</t>
  </si>
  <si>
    <r>
      <rPr>
        <rFont val="Times New Roman"/>
        <sz val="9.0"/>
      </rPr>
      <t>ログアウトされ、Login画面へ遷移する。URLが「</t>
    </r>
    <r>
      <rPr>
        <rFont val="Times New Roman"/>
        <color rgb="FF1155CC"/>
        <sz val="9.0"/>
        <u/>
      </rPr>
      <t>https://www.saucedemo.com/」</t>
    </r>
    <r>
      <rPr>
        <rFont val="Times New Roman"/>
        <sz val="9.0"/>
      </rPr>
      <t>である。</t>
    </r>
  </si>
  <si>
    <t>Your Cartタイトル表示</t>
  </si>
  <si>
    <t>「Your Cart」を確認する</t>
  </si>
  <si>
    <t>タイトル「Your Cart」が表示される。</t>
  </si>
  <si>
    <t>Your Cartタイトルクリック</t>
  </si>
  <si>
    <t>「Your Cart」をクリックする</t>
  </si>
  <si>
    <t>ラベル</t>
  </si>
  <si>
    <t>QTY表示</t>
  </si>
  <si>
    <t>「QTY」を確認する</t>
  </si>
  <si>
    <t>「QTY」が表示される。</t>
  </si>
  <si>
    <t>QTYクリック</t>
  </si>
  <si>
    <t>「QTY」をクリックする</t>
  </si>
  <si>
    <t>Description表示</t>
  </si>
  <si>
    <t>「Description」を確認する</t>
  </si>
  <si>
    <t>「Description」が表示される。</t>
  </si>
  <si>
    <t>Descriptionクリック</t>
  </si>
  <si>
    <t>「Description」をクリックする</t>
  </si>
  <si>
    <t>カート商品表示</t>
  </si>
  <si>
    <t>カートに追加された商品一覧が表示される。</t>
  </si>
  <si>
    <t>空カート表示</t>
  </si>
  <si>
    <t>カートが空である</t>
  </si>
  <si>
    <t>商品一覧が表示されない。Continue ShoppingとCheckoutボタンのみ表示される。</t>
  </si>
  <si>
    <t>商品タイトルを確認する</t>
  </si>
  <si>
    <t>商品説明を確認する</t>
  </si>
  <si>
    <t>商品価格を確認する</t>
  </si>
  <si>
    <t>数量表示</t>
  </si>
  <si>
    <t>数量を確認する</t>
  </si>
  <si>
    <t>数量「1」が表示される。</t>
  </si>
  <si>
    <t>複数商品表示</t>
  </si>
  <si>
    <t>異なる商品を2件以上カートへ追加済み</t>
  </si>
  <si>
    <t>Cart画面を表示し、商品一覧を確認する。</t>
  </si>
  <si>
    <t>カートへ追加したすべての商品が一覧に表示される。各商品のタイトル・説明・価格・数量・Removeボタンが正しく表示される。</t>
  </si>
  <si>
    <t>商品情報保持</t>
  </si>
  <si>
    <t>Inventory画面から商品をカートへ追加済み</t>
  </si>
  <si>
    <t>Cart画面で商品のタイトル・説明・価格を確認する。</t>
  </si>
  <si>
    <t>Cart画面に表示される商品情報（タイトル・説明・価格）がInventory画面の商品情報と一致する。</t>
  </si>
  <si>
    <t>Removeボタンを確認する</t>
  </si>
  <si>
    <t>商品</t>
  </si>
  <si>
    <t>商品タイトルHover</t>
  </si>
  <si>
    <t>商品タイトルへHoverする</t>
  </si>
  <si>
    <t>タイトル文字色が変更される。</t>
  </si>
  <si>
    <t>商品タイトルをクリックする</t>
  </si>
  <si>
    <t>該当商品のItem Details画面へ遷移する。</t>
  </si>
  <si>
    <t>数量クリック</t>
  </si>
  <si>
    <t>数量をクリックする</t>
  </si>
  <si>
    <t>Remove</t>
  </si>
  <si>
    <t>RemoveボタンUI</t>
  </si>
  <si>
    <t>Removeボタンが表示される。</t>
  </si>
  <si>
    <t>Removeをクリックする</t>
  </si>
  <si>
    <t>商品がCartから削除される。</t>
  </si>
  <si>
    <t>商品一覧更新</t>
  </si>
  <si>
    <t>削除した商品が一覧から消える。</t>
  </si>
  <si>
    <t>カートバッジ件数が更新される。</t>
  </si>
  <si>
    <t>最後の商品削除</t>
  </si>
  <si>
    <t>商品が1件のみ</t>
  </si>
  <si>
    <t>商品一覧が空になり、カート件数バッジが非表示になる。</t>
  </si>
  <si>
    <t>複数商品のうち1件削除</t>
  </si>
  <si>
    <t>商品を2件以上追加済み</t>
  </si>
  <si>
    <t>該当商品のみ削除され、残りの商品は表示されたままである。</t>
  </si>
  <si>
    <t>Remove後Checkout</t>
  </si>
  <si>
    <t>商品を1件以上カートへ追加済み</t>
  </si>
  <si>
    <t>① 任意の商品を「Remove」で削除する。② 「Checkout」をクリックする。</t>
  </si>
  <si>
    <r>
      <rPr>
        <rFont val="Times New Roman"/>
        <sz val="9.0"/>
      </rPr>
      <t>残っている商品情報を保持したままCheckout Step One画面へ遷移する。URLが「</t>
    </r>
    <r>
      <rPr>
        <rFont val="Times New Roman"/>
        <color rgb="FF1155CC"/>
        <sz val="9.0"/>
        <u/>
      </rPr>
      <t>https://www.saucedemo.com/checkout-step-one.html」</t>
    </r>
    <r>
      <rPr>
        <rFont val="Times New Roman"/>
        <sz val="9.0"/>
      </rPr>
      <t>である。</t>
    </r>
  </si>
  <si>
    <t>件数バッジが表示されない。</t>
  </si>
  <si>
    <t>商品数に応じた件数バッジが表示される。</t>
  </si>
  <si>
    <t>Cart画面のままであり、画面遷移・更新は発生しない。</t>
  </si>
  <si>
    <t>Continue Shopping</t>
  </si>
  <si>
    <t>ボタン表示</t>
  </si>
  <si>
    <t>Continue Shoppingボタンを確認する</t>
  </si>
  <si>
    <t>Continue Shoppingボタンが表示される。</t>
  </si>
  <si>
    <t>Continue Shoppingクリック</t>
  </si>
  <si>
    <t>Continue Shoppingをクリックする</t>
  </si>
  <si>
    <r>
      <rPr>
        <rFont val="Times New Roman"/>
        <sz val="9.0"/>
      </rPr>
      <t>Inventory画面へ遷移する。URLが「</t>
    </r>
    <r>
      <rPr>
        <rFont val="Times New Roman"/>
        <color rgb="FF1155CC"/>
        <sz val="9.0"/>
        <u/>
      </rPr>
      <t>https://www.saucedemo.com/inventory.html」</t>
    </r>
    <r>
      <rPr>
        <rFont val="Times New Roman"/>
        <sz val="9.0"/>
      </rPr>
      <t>である。</t>
    </r>
  </si>
  <si>
    <t>Continue Shopping後状態保持</t>
  </si>
  <si>
    <t>① 「Continue Shopping」をクリックする。② Inventory画面へ戻る。③ 追加済み商品の表示状態を確認する。</t>
  </si>
  <si>
    <t>Inventory画面へ戻る。カート件数バッジが保持される。追加済み商品のボタンは「Remove」のままであり、未追加商品のボタンは「Add to cart」のままである。</t>
  </si>
  <si>
    <t>Checkout</t>
  </si>
  <si>
    <t>Checkoutボタンを確認する</t>
  </si>
  <si>
    <t>Checkoutボタンが表示される。</t>
  </si>
  <si>
    <t>Checkoutクリック（商品あり）</t>
  </si>
  <si>
    <t>Checkoutをクリックする</t>
  </si>
  <si>
    <r>
      <rPr>
        <rFont val="Times New Roman"/>
        <sz val="9.0"/>
      </rPr>
      <t>Checkout Step One画面へ遷移する。URLが「</t>
    </r>
    <r>
      <rPr>
        <rFont val="Times New Roman"/>
        <color rgb="FF1155CC"/>
        <sz val="9.0"/>
        <u/>
      </rPr>
      <t>https://www.saucedemo.com/checkout-step-one.html」</t>
    </r>
    <r>
      <rPr>
        <rFont val="Times New Roman"/>
        <sz val="9.0"/>
      </rPr>
      <t>である。</t>
    </r>
  </si>
  <si>
    <t>Checkoutクリック（商品なし）</t>
  </si>
  <si>
    <t>Checkout Step One画面へ遷移する。</t>
  </si>
  <si>
    <t>フッターが表示される。SNSアイコン・Copyright・Terms of Service・Privacy Policyが表示される。</t>
  </si>
  <si>
    <t>最下部表示中</t>
  </si>
  <si>
    <t>最上部までスクロールする</t>
  </si>
  <si>
    <t>Checkout step one</t>
  </si>
  <si>
    <r>
      <rPr>
        <rFont val="Arial"/>
      </rPr>
      <t xml:space="preserve">URL: </t>
    </r>
    <r>
      <rPr>
        <rFont val="Arial"/>
        <color rgb="FF1155CC"/>
        <u/>
      </rPr>
      <t>https://www.saucedemo.com/checkout-step-one.html</t>
    </r>
    <r>
      <rPr>
        <rFont val="Arial"/>
      </rPr>
      <t xml:space="preserve"> </t>
    </r>
  </si>
  <si>
    <t>画面遷移</t>
  </si>
  <si>
    <t>Cart画面からCheckout画面へ遷移</t>
  </si>
  <si>
    <t>ログイン済み、Cart画面を表示している</t>
  </si>
  <si>
    <t>① Cart画面を開く② 「Checkout」ボタンをクリック</t>
  </si>
  <si>
    <r>
      <rPr>
        <rFont val="Times New Roman"/>
        <sz val="9.0"/>
      </rPr>
      <t xml:space="preserve">Checkout Step One画面へ遷移する。URLは </t>
    </r>
    <r>
      <rPr>
        <rFont val="Times New Roman"/>
        <color rgb="FF1155CC"/>
        <sz val="9.0"/>
        <u/>
      </rPr>
      <t>https://www.saucedemo.com/checkout-step-one.html</t>
    </r>
    <r>
      <rPr>
        <rFont val="Times New Roman"/>
        <sz val="9.0"/>
      </rPr>
      <t xml:space="preserve"> である。</t>
    </r>
  </si>
  <si>
    <r>
      <t>ログアウトされ、ログイン画面へ遷移する。URLが「</t>
    </r>
    <r>
      <rPr>
        <rFont val="Times New Roman"/>
        <color rgb="FF1155CC"/>
        <sz val="9.0"/>
        <u/>
      </rPr>
      <t>https://www.saucedemo.com/」である。</t>
    </r>
  </si>
  <si>
    <t>Swag Labsタイトル</t>
  </si>
  <si>
    <t>Checkout Step One画面を表示</t>
  </si>
  <si>
    <t>画面上部タイトルを確認する</t>
  </si>
  <si>
    <t>Swag Labsタイトル操作</t>
  </si>
  <si>
    <t>タイトルをクリックする</t>
  </si>
  <si>
    <t>クリックできない、または画面遷移・画面変化が発生しない。</t>
  </si>
  <si>
    <t>Checkout: Your Informationタイトル</t>
  </si>
  <si>
    <t>セクションタイトル表示</t>
  </si>
  <si>
    <t>タイトルを確認する</t>
  </si>
  <si>
    <t>「Checkout: Your Information」が表示される。</t>
  </si>
  <si>
    <t>セクションタイトル操作</t>
  </si>
  <si>
    <t>画面遷移・画面変化が発生しない。</t>
  </si>
  <si>
    <t>First Name入力欄</t>
  </si>
  <si>
    <t>Checkout Step One画面</t>
  </si>
  <si>
    <t>First Name欄を確認</t>
  </si>
  <si>
    <t>Placeholder「First Name」が表示される。</t>
  </si>
  <si>
    <t>入力可能</t>
  </si>
  <si>
    <t>英数字を入力する</t>
  </si>
  <si>
    <t>入力内容が表示される。</t>
  </si>
  <si>
    <t>入力値保持</t>
  </si>
  <si>
    <t>First Name入力済み</t>
  </si>
  <si>
    <t>他項目へフォーカス移動する</t>
  </si>
  <si>
    <t>入力値が保持される。</t>
  </si>
  <si>
    <t>必須チェック</t>
  </si>
  <si>
    <t>Last Name、Zip入力済み</t>
  </si>
  <si>
    <t>First Nameを空欄のまま
Continueをクリック</t>
  </si>
  <si>
    <t>エラーメッセージ「Error: First Name is required」が表示される。入力欄下線が赤色、右端にエラーアイコンが表示される。</t>
  </si>
  <si>
    <t>エラー解除</t>
  </si>
  <si>
    <t>First Name必須エラー表示中</t>
  </si>
  <si>
    <t>First Nameを入力する</t>
  </si>
  <si>
    <t>エラー表示が解除される。</t>
  </si>
  <si>
    <t>Last Name入力欄</t>
  </si>
  <si>
    <t>Last Name欄を確認</t>
  </si>
  <si>
    <t>Placeholder「Last Name」が表示される。</t>
  </si>
  <si>
    <t>Last Name入力済み</t>
  </si>
  <si>
    <t>First Name、Zip入力済み</t>
  </si>
  <si>
    <t>Last Nameを空欄のまま
Continueをクリック</t>
  </si>
  <si>
    <t>エラーメッセージ「Error: Last Name is required」が表示される。入力欄下線が赤色、右端にエラーアイコンが表示される。</t>
  </si>
  <si>
    <t>Last Name必須エラー表示中</t>
  </si>
  <si>
    <t>Last Nameを入力する</t>
  </si>
  <si>
    <t>Zip / Postal Code入力欄</t>
  </si>
  <si>
    <t>Zip欄を確認</t>
  </si>
  <si>
    <t>Placeholder「Zip/Postal Code」が表示される。</t>
  </si>
  <si>
    <t>郵便番号を入力する</t>
  </si>
  <si>
    <t>Zip入力済み</t>
  </si>
  <si>
    <t>First Name、Last Name入力済み</t>
  </si>
  <si>
    <t>Zipを空欄のまま
Continueをクリック</t>
  </si>
  <si>
    <t>エラーメッセージ「Error: Postal Code is required」が表示される。入力欄下線が赤色、右端にエラーアイコンが表示される。</t>
  </si>
  <si>
    <t>Zip必須エラー表示中</t>
  </si>
  <si>
    <t>Zipを入力する</t>
  </si>
  <si>
    <t>Continueボタン</t>
  </si>
  <si>
    <t>UI表示</t>
  </si>
  <si>
    <t>Continueボタンを確認</t>
  </si>
  <si>
    <t>Continueボタンが表示される。</t>
  </si>
  <si>
    <t>正常遷移</t>
  </si>
  <si>
    <t>全項目入力済み</t>
  </si>
  <si>
    <t>Continueをクリック</t>
  </si>
  <si>
    <r>
      <rPr>
        <rFont val="Times New Roman"/>
        <sz val="9.0"/>
      </rPr>
      <t xml:space="preserve">Checkout Step Two画面へ遷移する。URLは </t>
    </r>
    <r>
      <rPr>
        <rFont val="Times New Roman"/>
        <color rgb="FF1155CC"/>
        <sz val="9.0"/>
        <u/>
      </rPr>
      <t>https://www.saucedemo.com/checkout-step-two.html</t>
    </r>
    <r>
      <rPr>
        <rFont val="Times New Roman"/>
        <sz val="9.0"/>
      </rPr>
      <t xml:space="preserve"> である。</t>
    </r>
  </si>
  <si>
    <t>全項目未入力</t>
  </si>
  <si>
    <t>全項目空欄でContinueをクリック</t>
  </si>
  <si>
    <t>First Nameエラーが表示される。First Name、Last Name、Zipの下線が赤色になり、各項目右側にエラーアイコンが表示される。</t>
  </si>
  <si>
    <t>First Name未入力</t>
  </si>
  <si>
    <t>「Error: First Name is required」が表示される。</t>
  </si>
  <si>
    <t>Last Name未入力</t>
  </si>
  <si>
    <t>「Error: Last Name is required」が表示される。</t>
  </si>
  <si>
    <t>Zip未入力</t>
  </si>
  <si>
    <t>「Error: Postal Code is required」が表示される。</t>
  </si>
  <si>
    <t>エラー表示中</t>
  </si>
  <si>
    <t>エラーメッセージ右上「×」をクリック</t>
  </si>
  <si>
    <t>エラーメッセージが非表示になる。入力値は保持される。</t>
  </si>
  <si>
    <t>Cancelボタン</t>
  </si>
  <si>
    <t>Cancelボタンを確認</t>
  </si>
  <si>
    <t>Cancelボタンが表示される。</t>
  </si>
  <si>
    <t>Cancelをクリック</t>
  </si>
  <si>
    <r>
      <rPr>
        <rFont val="Times New Roman"/>
        <sz val="9.0"/>
      </rPr>
      <t xml:space="preserve">Cart画面へ遷移する。URLは </t>
    </r>
    <r>
      <rPr>
        <rFont val="Times New Roman"/>
        <color rgb="FF1155CC"/>
        <sz val="9.0"/>
        <u/>
      </rPr>
      <t>https://www.saucedemo.com/cart.html</t>
    </r>
    <r>
      <rPr>
        <rFont val="Times New Roman"/>
        <sz val="9.0"/>
      </rPr>
      <t xml:space="preserve"> である。</t>
    </r>
  </si>
  <si>
    <t>Cart状態保持</t>
  </si>
  <si>
    <t>Cart画面へ戻った後</t>
  </si>
  <si>
    <t>Cart内容を確認する</t>
  </si>
  <si>
    <t>商品一覧・数量・削除状態などCheckout遷移前の状態が保持される。</t>
  </si>
  <si>
    <t>カートアイコン</t>
  </si>
  <si>
    <t>アイコン表示</t>
  </si>
  <si>
    <t>Cartアイコンを確認</t>
  </si>
  <si>
    <t>Cartアイコンが表示される。商品数バッジがCart内容と一致する。</t>
  </si>
  <si>
    <t>Cartアイコンをクリック</t>
  </si>
  <si>
    <r>
      <rPr>
        <rFont val="Times New Roman"/>
        <sz val="9.0"/>
      </rPr>
      <t xml:space="preserve">Cart画面へ遷移する。URLは </t>
    </r>
    <r>
      <rPr>
        <rFont val="Times New Roman"/>
        <color rgb="FF1155CC"/>
        <sz val="9.0"/>
        <u/>
      </rPr>
      <t>https://www.saucedemo.com/cart.html</t>
    </r>
    <r>
      <rPr>
        <rFont val="Times New Roman"/>
        <sz val="9.0"/>
      </rPr>
      <t xml:space="preserve"> である。</t>
    </r>
  </si>
  <si>
    <t>商品保持</t>
  </si>
  <si>
    <t>Cart画面へ戻る</t>
  </si>
  <si>
    <t>Cart内容を確認</t>
  </si>
  <si>
    <t>Checkout遷移前の商品一覧・数量が保持される。</t>
  </si>
  <si>
    <t>Checkout step two</t>
  </si>
  <si>
    <r>
      <rPr>
        <rFont val="Arial"/>
      </rPr>
      <t xml:space="preserve">URL: </t>
    </r>
    <r>
      <rPr>
        <rFont val="Arial"/>
        <color rgb="FF1155CC"/>
        <u/>
      </rPr>
      <t>https://www.saucedemo.com/checkout-step-two.html</t>
    </r>
  </si>
  <si>
    <t>Checkout Step OneからCheckout Step Twoへ遷移</t>
  </si>
  <si>
    <t>ログイン済み、Checkout Step One画面を表示</t>
  </si>
  <si>
    <t>① First Name、Last Name、Zip/Postal Codeを入力する。② Continueボタンをクリックする。</t>
  </si>
  <si>
    <t>Checkout Step Two画面へ遷移する。URLは/checkout-step-two.htmlである。</t>
  </si>
  <si>
    <r>
      <t>ログアウトされ、ログイン画面へ遷移する。URLが「</t>
    </r>
    <r>
      <rPr>
        <rFont val="Times New Roman"/>
        <color rgb="FF1155CC"/>
        <sz val="9.0"/>
        <u/>
      </rPr>
      <t>https://www.saucedemo.com/」である。</t>
    </r>
  </si>
  <si>
    <t>Checkout Step Two画面を表示</t>
  </si>
  <si>
    <t>Checkout: Overviewタイトル</t>
  </si>
  <si>
    <t>タイトル表示</t>
  </si>
  <si>
    <t>「Checkout: Overview」が表示される。</t>
  </si>
  <si>
    <t>タイトル操作</t>
  </si>
  <si>
    <t>QTYタイトル</t>
  </si>
  <si>
    <t>QTY操作</t>
  </si>
  <si>
    <t>Descriptionタイトル</t>
  </si>
  <si>
    <t>Description操作</t>
  </si>
  <si>
    <t>カートに商品が登録されている</t>
  </si>
  <si>
    <t>Checkout Step Two画面を表示する</t>
  </si>
  <si>
    <t>Cartに追加した商品一覧が表示される。</t>
  </si>
  <si>
    <t>商品名表示</t>
  </si>
  <si>
    <t>商品が存在する</t>
  </si>
  <si>
    <t>商品名を確認する</t>
  </si>
  <si>
    <t>商品名が表示される。</t>
  </si>
  <si>
    <t>商品数量が表示される。</t>
  </si>
  <si>
    <t>商品名Hover</t>
  </si>
  <si>
    <t>商品名へマウスオーバーする</t>
  </si>
  <si>
    <t>商品名の文字色が変更される。</t>
  </si>
  <si>
    <t>商品名クリック</t>
  </si>
  <si>
    <t>商品名をクリックする</t>
  </si>
  <si>
    <t>対応するItem Details画面へ遷移する。</t>
  </si>
  <si>
    <t>Cart内容一致</t>
  </si>
  <si>
    <t>Cart画面から遷移</t>
  </si>
  <si>
    <t>商品名・数量・価格を比較する</t>
  </si>
  <si>
    <t>Cart画面と同じ内容が表示される。</t>
  </si>
  <si>
    <t>Payment Information</t>
  </si>
  <si>
    <t>Checkout Step Two画面</t>
  </si>
  <si>
    <t>「Payment Information:」が表示される。</t>
  </si>
  <si>
    <t>支払情報表示</t>
  </si>
  <si>
    <t>内容を確認する</t>
  </si>
  <si>
    <t>Payment Informationが表示される。（例：SauceCard #31337）</t>
  </si>
  <si>
    <t>情報操作</t>
  </si>
  <si>
    <t>Payment Informationをクリックする</t>
  </si>
  <si>
    <t>Shipping Information</t>
  </si>
  <si>
    <t>「Shipping Information:」が表示される。</t>
  </si>
  <si>
    <t>配送情報表示</t>
  </si>
  <si>
    <t>Shipping Informationが表示される。（例：Free Pony Express Delivery!）</t>
  </si>
  <si>
    <t>配送情報をクリックする</t>
  </si>
  <si>
    <t>Price Total</t>
  </si>
  <si>
    <t>「Price Total」を確認する</t>
  </si>
  <si>
    <t>「Price Total」が表示される。</t>
  </si>
  <si>
    <t>Item Total表示</t>
  </si>
  <si>
    <t>Item totalを確認する</t>
  </si>
  <si>
    <t>商品合計金額が表示される。</t>
  </si>
  <si>
    <t>Tax表示</t>
  </si>
  <si>
    <t>Taxを確認する</t>
  </si>
  <si>
    <t>税額が表示される。</t>
  </si>
  <si>
    <t>Total表示</t>
  </si>
  <si>
    <t>Totalを確認する</t>
  </si>
  <si>
    <t>合計金額が表示される。</t>
  </si>
  <si>
    <t>計算確認</t>
  </si>
  <si>
    <t>Item Total + Taxを計算する</t>
  </si>
  <si>
    <t>Totalと一致する。</t>
  </si>
  <si>
    <t>金額操作</t>
  </si>
  <si>
    <t>金額をクリックする</t>
  </si>
  <si>
    <t>Cartアイコンを確認する</t>
  </si>
  <si>
    <t>Cartアイコンと商品数バッジが表示される。</t>
  </si>
  <si>
    <t>Cartアイコンをクリックする</t>
  </si>
  <si>
    <t>Cart画面へ遷移する。URLは/cart.htmlである。</t>
  </si>
  <si>
    <t>Cart画面表示後</t>
  </si>
  <si>
    <t>商品一覧・数量が保持される。</t>
  </si>
  <si>
    <t>Cancelボタンを確認する</t>
  </si>
  <si>
    <t>Cancelボタンをクリックする</t>
  </si>
  <si>
    <t>All Items画面へ遷移する。URLは/inventory.htmlである。</t>
  </si>
  <si>
    <t>Checkout Step Oneへ戻る</t>
  </si>
  <si>
    <t>First Name、Last Name、Zipを確認する</t>
  </si>
  <si>
    <t>入力した値が保持される。</t>
  </si>
  <si>
    <t>Finishボタン</t>
  </si>
  <si>
    <t>Finishボタンを確認する</t>
  </si>
  <si>
    <t>Finishボタンが表示される。</t>
  </si>
  <si>
    <t>正常終了</t>
  </si>
  <si>
    <t>Finishボタンをクリックする</t>
  </si>
  <si>
    <t>Checkout Complete画面へ遷移する。URLは/checkout-complete.htmlである。</t>
  </si>
  <si>
    <t>Checkout Complete</t>
  </si>
  <si>
    <r>
      <rPr>
        <rFont val="Arial"/>
      </rPr>
      <t xml:space="preserve">URL: </t>
    </r>
    <r>
      <rPr>
        <rFont val="Arial"/>
        <color rgb="FF1155CC"/>
        <u/>
      </rPr>
      <t>https://www.saucedemo.com/checkout-step-two.html</t>
    </r>
  </si>
  <si>
    <t>Checkout Step TwoからCheckout Completeへ遷移</t>
  </si>
  <si>
    <t>ログイン済み、Checkout Step Two画面を表示</t>
  </si>
  <si>
    <r>
      <t>ログアウトされ、ログイン画面へ遷移する。URLが「</t>
    </r>
    <r>
      <rPr>
        <rFont val="Times New Roman"/>
        <color rgb="FF1155CC"/>
        <sz val="9.0"/>
        <u/>
      </rPr>
      <t>https://www.saucedemo.com/」である。</t>
    </r>
  </si>
  <si>
    <t>Checkout Complete画面を表示</t>
  </si>
  <si>
    <t>Checkout: Complete!</t>
  </si>
  <si>
    <t>「Checkout: Complete!」が表示される。</t>
  </si>
  <si>
    <t>Complete Icon</t>
  </si>
  <si>
    <t>完了アイコン表示</t>
  </si>
  <si>
    <t>完了アイコンを確認する</t>
  </si>
  <si>
    <t>Completeアイコン（チェックマーク）が表示される。</t>
  </si>
  <si>
    <t>完了アイコン操作</t>
  </si>
  <si>
    <t>完了アイコンをクリックする</t>
  </si>
  <si>
    <t>Thank you for your order!</t>
  </si>
  <si>
    <t>メッセージ表示</t>
  </si>
  <si>
    <t>「Thank you for your order!」を確認する</t>
  </si>
  <si>
    <t>メッセージが表示される。</t>
  </si>
  <si>
    <t>メッセージ操作</t>
  </si>
  <si>
    <t>メッセージをクリックする</t>
  </si>
  <si>
    <t>完了メッセージ</t>
  </si>
  <si>
    <t>配送メッセージ表示</t>
  </si>
  <si>
    <t>「Your order has been dispatched, and will arrive just as fast as the pony can get there!」を確認する</t>
  </si>
  <si>
    <t>配送メッセージが表示される。</t>
  </si>
  <si>
    <t>配送メッセージ操作</t>
  </si>
  <si>
    <t>配送メッセージをクリックする</t>
  </si>
  <si>
    <t>Back Homeボタン</t>
  </si>
  <si>
    <t>Back Homeボタンを確認する</t>
  </si>
  <si>
    <t>Back Homeボタンが表示される。</t>
  </si>
  <si>
    <t>Back Homeボタンをクリックする</t>
  </si>
  <si>
    <t>Inventory画面へ遷移する。URLは/inventory.htmlである。</t>
  </si>
  <si>
    <t>カート状態確認</t>
  </si>
  <si>
    <t>Back HomeでInventoryへ戻る</t>
  </si>
  <si>
    <t>Cart Badgeを確認する</t>
  </si>
  <si>
    <t>注文完了後のためCart Badgeは表示されない（Cartが空になる）。</t>
  </si>
  <si>
    <t>Cartアイコンが表示される。</t>
  </si>
  <si>
    <t>Cart画面遷移</t>
  </si>
  <si>
    <t>Cart内容確認</t>
  </si>
  <si>
    <t>Cart画面を表示</t>
  </si>
  <si>
    <t>Cart一覧を確認する</t>
  </si>
  <si>
    <t>注文完了後のためCartは空である。</t>
  </si>
  <si>
    <t>注文完了</t>
  </si>
  <si>
    <t>Inventory復帰</t>
  </si>
  <si>
    <t>Inventory画面が正常に表示される。</t>
  </si>
  <si>
    <t>Cartリセット</t>
  </si>
  <si>
    <t>Inventory画面へ戻る</t>
  </si>
  <si>
    <t>Cart Badgeが表示されない。</t>
  </si>
  <si>
    <t>Cart空状態</t>
  </si>
  <si>
    <t>InventoryからCartへ遷移</t>
  </si>
  <si>
    <t>商品が存在しない。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</si>
</sst>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0.0"/>
      <color rgb="FF000000"/>
      <name val="Arial"/>
      <scheme val="minor"/>
    </font>
    <font>
      <color theme="1"/>
      <name val="Arial"/>
    </font>
    <font>
      <sz val="9.0"/>
      <color theme="1"/>
      <name val="Times New Roman"/>
    </font>
    <font>
      <sz val="9.0"/>
      <color rgb="FF274E13"/>
      <name val="Times New Roman"/>
    </font>
    <font>
      <sz val="9.0"/>
      <color rgb="FFFF0000"/>
      <name val="Times New Roman"/>
    </font>
    <font>
      <u/>
      <color rgb="FF0000FF"/>
      <name val="Arial"/>
    </font>
    <font>
      <u/>
      <sz val="9.0"/>
      <color rgb="FF0000FF"/>
      <name val="Times New Roman"/>
    </font>
    <font/>
    <font>
      <sz val="9.0"/>
      <color rgb="FF1D1C1D"/>
      <name val="Times New Roman"/>
    </font>
    <font>
      <color theme="1"/>
      <name val="Arial"/>
      <scheme val="minor"/>
    </font>
    <font>
      <u/>
      <color rgb="FF0000FF"/>
      <name val="Arial"/>
    </font>
    <font>
      <u/>
      <color rgb="FF0000FF"/>
    </font>
    <font>
      <u/>
      <sz val="9.0"/>
      <color rgb="FF0000FF"/>
      <name val="Times New Roman"/>
    </font>
    <font>
      <u/>
      <sz val="9.0"/>
      <color rgb="FF0000FF"/>
      <name val="Times New Roman"/>
    </font>
    <font>
      <b/>
      <color theme="1"/>
      <name val="Arial"/>
      <scheme val="minor"/>
    </font>
    <font>
      <u/>
      <sz val="9.0"/>
      <color rgb="FF0000FF"/>
      <name val="Times New Roman"/>
    </font>
    <font>
      <u/>
      <sz val="9.0"/>
      <color rgb="FF0000FF"/>
      <name val="Times New Roman"/>
    </font>
  </fonts>
  <fills count="9">
    <fill>
      <patternFill patternType="none"/>
    </fill>
    <fill>
      <patternFill patternType="lightGray"/>
    </fill>
    <fill>
      <patternFill patternType="solid">
        <fgColor rgb="FFC2D69B"/>
        <bgColor rgb="FFC2D69B"/>
      </patternFill>
    </fill>
    <fill>
      <patternFill patternType="solid">
        <fgColor rgb="FFDBE5F1"/>
        <bgColor rgb="FFDBE5F1"/>
      </patternFill>
    </fill>
    <fill>
      <patternFill patternType="solid">
        <fgColor rgb="FFF2DBDB"/>
        <bgColor rgb="FFF2DBDB"/>
      </patternFill>
    </fill>
    <fill>
      <patternFill patternType="solid">
        <fgColor rgb="FFF2FAE3"/>
        <bgColor rgb="FFF2FAE3"/>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left style="thin">
        <color rgb="FF000000"/>
      </left>
      <right/>
      <bottom style="thin">
        <color rgb="FF000000"/>
      </bottom>
    </border>
    <border>
      <left style="thin">
        <color rgb="FF000000"/>
      </left>
      <top style="thin">
        <color rgb="FF000000"/>
      </top>
      <bottom style="thin">
        <color rgb="FF000000"/>
      </bottom>
    </border>
    <border>
      <left style="thin">
        <color rgb="FF000000"/>
      </left>
      <right/>
    </border>
    <border>
      <left style="thin">
        <color rgb="FF000000"/>
      </left>
      <right style="thin">
        <color rgb="FF000000"/>
      </right>
      <top style="thin">
        <color rgb="FF000000"/>
      </top>
    </border>
    <border>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horizontal="right" shrinkToFit="0" vertical="center" wrapText="1"/>
    </xf>
    <xf borderId="1" fillId="4" fontId="2"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5" fontId="3" numFmtId="0" xfId="0" applyAlignment="1" applyBorder="1" applyFill="1" applyFont="1">
      <alignment horizontal="center" shrinkToFit="0" vertical="center" wrapText="1"/>
    </xf>
    <xf borderId="1" fillId="0" fontId="1" numFmtId="0" xfId="0" applyAlignment="1" applyBorder="1" applyFont="1">
      <alignment vertical="center"/>
    </xf>
    <xf borderId="2" fillId="4" fontId="2" numFmtId="0" xfId="0" applyAlignment="1" applyBorder="1" applyFont="1">
      <alignment horizontal="center" shrinkToFit="0" vertical="center" wrapText="1"/>
    </xf>
    <xf borderId="1" fillId="6" fontId="4" numFmtId="0" xfId="0" applyAlignment="1" applyBorder="1" applyFill="1" applyFont="1">
      <alignment horizontal="center" shrinkToFit="0" vertical="center" wrapText="1"/>
    </xf>
    <xf borderId="3" fillId="0" fontId="1" numFmtId="0" xfId="0" applyAlignment="1" applyBorder="1" applyFont="1">
      <alignment vertical="center"/>
    </xf>
    <xf borderId="4" fillId="0" fontId="5" numFmtId="0" xfId="0" applyAlignment="1" applyBorder="1" applyFont="1">
      <alignment readingOrder="0" vertical="center"/>
    </xf>
    <xf borderId="4" fillId="0" fontId="1" numFmtId="0" xfId="0" applyAlignment="1" applyBorder="1" applyFont="1">
      <alignment vertical="center"/>
    </xf>
    <xf borderId="5" fillId="7" fontId="2" numFmtId="0" xfId="0" applyAlignment="1" applyBorder="1" applyFill="1" applyFont="1">
      <alignment horizontal="center" shrinkToFit="0" vertical="center" wrapText="1"/>
    </xf>
    <xf borderId="5" fillId="7" fontId="2" numFmtId="0" xfId="0" applyAlignment="1" applyBorder="1" applyFont="1">
      <alignment horizontal="left" shrinkToFit="0" vertical="center" wrapText="1"/>
    </xf>
    <xf borderId="2" fillId="7" fontId="2" numFmtId="0" xfId="0" applyAlignment="1" applyBorder="1" applyFont="1">
      <alignment horizontal="center" shrinkToFit="0" vertical="center" wrapText="1"/>
    </xf>
    <xf borderId="6" fillId="0" fontId="2" numFmtId="0" xfId="0" applyAlignment="1" applyBorder="1" applyFont="1">
      <alignment shrinkToFit="0" vertical="center" wrapText="1"/>
    </xf>
    <xf borderId="5" fillId="0" fontId="2" numFmtId="0" xfId="0" applyAlignment="1" applyBorder="1" applyFont="1">
      <alignment horizontal="left" shrinkToFit="0" vertical="center" wrapText="1"/>
    </xf>
    <xf borderId="5" fillId="0" fontId="6" numFmtId="0" xfId="0" applyAlignment="1" applyBorder="1" applyFont="1">
      <alignment horizontal="left" shrinkToFit="0" vertical="center" wrapText="1"/>
    </xf>
    <xf borderId="1" fillId="0" fontId="2" numFmtId="0" xfId="0" applyAlignment="1" applyBorder="1" applyFont="1">
      <alignment readingOrder="0" shrinkToFit="0" vertical="center" wrapText="1"/>
    </xf>
    <xf borderId="7" fillId="0" fontId="2" numFmtId="0" xfId="0" applyAlignment="1" applyBorder="1" applyFont="1">
      <alignment horizontal="left" shrinkToFit="0" vertical="center" wrapText="1"/>
    </xf>
    <xf borderId="5" fillId="0" fontId="7" numFmtId="0" xfId="0" applyBorder="1" applyFont="1"/>
    <xf borderId="8" fillId="0" fontId="2" numFmtId="0" xfId="0" applyAlignment="1" applyBorder="1" applyFont="1">
      <alignment horizontal="left" shrinkToFit="0" vertical="center" wrapText="1"/>
    </xf>
    <xf borderId="9" fillId="0" fontId="2" numFmtId="0" xfId="0" applyAlignment="1" applyBorder="1" applyFont="1">
      <alignment horizontal="left" shrinkToFit="0" vertical="center" wrapText="1"/>
    </xf>
    <xf borderId="10" fillId="0" fontId="7" numFmtId="0" xfId="0" applyBorder="1" applyFont="1"/>
    <xf borderId="2" fillId="0" fontId="7" numFmtId="0" xfId="0" applyBorder="1" applyFont="1"/>
    <xf borderId="8" fillId="0" fontId="2" numFmtId="0" xfId="0" applyAlignment="1" applyBorder="1" applyFont="1">
      <alignment horizontal="left" readingOrder="0" shrinkToFit="0" vertical="center" wrapText="1"/>
    </xf>
    <xf borderId="7" fillId="0" fontId="7" numFmtId="0" xfId="0" applyBorder="1" applyFont="1"/>
    <xf borderId="1" fillId="0" fontId="8" numFmtId="0" xfId="0" applyAlignment="1" applyBorder="1" applyFont="1">
      <alignment shrinkToFit="0" vertical="center" wrapText="1"/>
    </xf>
    <xf borderId="1" fillId="8" fontId="2" numFmtId="0" xfId="0" applyAlignment="1" applyBorder="1" applyFill="1" applyFont="1">
      <alignment shrinkToFit="0" vertical="center" wrapText="1"/>
    </xf>
    <xf borderId="8" fillId="0" fontId="2" numFmtId="0" xfId="0" applyAlignment="1" applyBorder="1" applyFont="1">
      <alignment shrinkToFit="0" vertical="center" wrapText="1"/>
    </xf>
    <xf borderId="11" fillId="0" fontId="2" numFmtId="0" xfId="0" applyAlignment="1" applyBorder="1" applyFont="1">
      <alignment shrinkToFit="0" vertical="center" wrapText="1"/>
    </xf>
    <xf borderId="2" fillId="0" fontId="2" numFmtId="0" xfId="0" applyAlignment="1" applyBorder="1" applyFont="1">
      <alignment shrinkToFit="0" vertical="center" wrapText="1"/>
    </xf>
    <xf borderId="0" fillId="8" fontId="1" numFmtId="0" xfId="0" applyAlignment="1" applyFont="1">
      <alignment vertical="center"/>
    </xf>
    <xf borderId="6" fillId="8" fontId="2" numFmtId="0" xfId="0" applyAlignment="1" applyBorder="1" applyFont="1">
      <alignment shrinkToFit="0" vertical="center" wrapText="1"/>
    </xf>
    <xf borderId="2" fillId="8" fontId="2" numFmtId="0" xfId="0" applyAlignment="1" applyBorder="1" applyFont="1">
      <alignment shrinkToFit="0" vertical="center" wrapText="1"/>
    </xf>
    <xf borderId="0" fillId="0" fontId="9" numFmtId="0" xfId="0" applyAlignment="1" applyFont="1">
      <alignment readingOrder="0"/>
    </xf>
    <xf borderId="0" fillId="0" fontId="10"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readingOrder="0" vertical="center"/>
    </xf>
    <xf borderId="0" fillId="0" fontId="11" numFmtId="0" xfId="0" applyAlignment="1" applyFont="1">
      <alignment readingOrder="0"/>
    </xf>
    <xf borderId="6" fillId="0" fontId="12" numFmtId="0" xfId="0" applyAlignment="1" applyBorder="1" applyFont="1">
      <alignment shrinkToFit="0" vertical="center" wrapText="1"/>
    </xf>
    <xf borderId="12" fillId="0" fontId="2" numFmtId="0" xfId="0" applyAlignment="1" applyBorder="1" applyFont="1">
      <alignment shrinkToFit="0" vertical="center" wrapText="1"/>
    </xf>
    <xf borderId="13" fillId="0" fontId="7" numFmtId="0" xfId="0" applyBorder="1" applyFont="1"/>
    <xf borderId="14" fillId="0" fontId="7" numFmtId="0" xfId="0" applyBorder="1" applyFont="1"/>
    <xf borderId="6" fillId="0" fontId="2" numFmtId="0" xfId="0" applyAlignment="1" applyBorder="1" applyFont="1">
      <alignment readingOrder="0" shrinkToFit="0" vertical="center" wrapText="1"/>
    </xf>
    <xf borderId="6" fillId="0" fontId="13" numFmtId="0" xfId="0" applyAlignment="1" applyBorder="1" applyFont="1">
      <alignment readingOrder="0" shrinkToFit="0" vertical="center" wrapText="1"/>
    </xf>
    <xf borderId="1" fillId="0" fontId="9" numFmtId="0" xfId="0" applyBorder="1" applyFont="1"/>
    <xf borderId="1" fillId="0" fontId="14" numFmtId="0" xfId="0" applyAlignment="1" applyBorder="1" applyFont="1">
      <alignment horizontal="center" readingOrder="0"/>
    </xf>
    <xf borderId="1" fillId="0" fontId="15"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1" fillId="0" fontId="16" numFmtId="0" xfId="0" applyAlignment="1" applyBorder="1" applyFont="1">
      <alignment shrinkToFit="0" vertical="center" wrapText="1"/>
    </xf>
    <xf borderId="10" fillId="0" fontId="8" numFmtId="0" xfId="0" applyAlignment="1" applyBorder="1" applyFont="1">
      <alignment shrinkToFit="0" vertical="center" wrapText="1"/>
    </xf>
    <xf borderId="2" fillId="0" fontId="8" numFmtId="0" xfId="0" applyAlignment="1" applyBorder="1" applyFont="1">
      <alignment shrinkToFit="0" vertical="center" wrapText="1"/>
    </xf>
    <xf borderId="12" fillId="0" fontId="2" numFmtId="0" xfId="0" applyAlignment="1" applyBorder="1" applyFont="1">
      <alignment readingOrder="0" shrinkToFit="0" vertical="center" wrapText="1"/>
    </xf>
    <xf borderId="0" fillId="0" fontId="9" numFmtId="0" xfId="0" applyAlignment="1" applyFont="1">
      <alignment readingOrder="0"/>
    </xf>
    <xf borderId="1" fillId="7"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hyperlink" Target="https://www.saucedemo.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saucedemo.com/inventory.html" TargetMode="External"/><Relationship Id="rId10" Type="http://schemas.openxmlformats.org/officeDocument/2006/relationships/hyperlink" Target="https://www.saucedemo.com/checkout-step-one.html)" TargetMode="External"/><Relationship Id="rId13" Type="http://schemas.openxmlformats.org/officeDocument/2006/relationships/hyperlink" Target="https://www.saucedemo.com/inventory.html)" TargetMode="External"/><Relationship Id="rId12" Type="http://schemas.openxmlformats.org/officeDocument/2006/relationships/hyperlink" Target="https://www.saucedemo.com/cart.html" TargetMode="External"/><Relationship Id="rId1" Type="http://schemas.openxmlformats.org/officeDocument/2006/relationships/hyperlink" Target="https://www.saucedemo.com/cart.html" TargetMode="External"/><Relationship Id="rId2" Type="http://schemas.openxmlformats.org/officeDocument/2006/relationships/hyperlink" Target="https://www.saucedemo.com/cart.html" TargetMode="External"/><Relationship Id="rId3" Type="http://schemas.openxmlformats.org/officeDocument/2006/relationships/hyperlink" Target="https://www.saucedemo.com/inventory-item.html?id=0" TargetMode="External"/><Relationship Id="rId4" Type="http://schemas.openxmlformats.org/officeDocument/2006/relationships/hyperlink" Target="https://www.saucedemo.com/cart.html" TargetMode="External"/><Relationship Id="rId9" Type="http://schemas.openxmlformats.org/officeDocument/2006/relationships/hyperlink" Target="https://www.saucedemo.com/checkout-complete.html" TargetMode="External"/><Relationship Id="rId15" Type="http://schemas.openxmlformats.org/officeDocument/2006/relationships/hyperlink" Target="https://www.saucedemo.com/checkout-step-one.html" TargetMode="External"/><Relationship Id="rId14" Type="http://schemas.openxmlformats.org/officeDocument/2006/relationships/hyperlink" Target="https://www.saucedemo.com/inventory.html" TargetMode="External"/><Relationship Id="rId16" Type="http://schemas.openxmlformats.org/officeDocument/2006/relationships/drawing" Target="../drawings/drawing2.xml"/><Relationship Id="rId5" Type="http://schemas.openxmlformats.org/officeDocument/2006/relationships/hyperlink" Target="https://www.saucedemo.com/cart.html" TargetMode="External"/><Relationship Id="rId6" Type="http://schemas.openxmlformats.org/officeDocument/2006/relationships/hyperlink" Target="https://www.saucedemo.com/checkout-step-one.html)" TargetMode="External"/><Relationship Id="rId7" Type="http://schemas.openxmlformats.org/officeDocument/2006/relationships/hyperlink" Target="https://www.saucedemo.com/cart.html" TargetMode="External"/><Relationship Id="rId8" Type="http://schemas.openxmlformats.org/officeDocument/2006/relationships/hyperlink" Target="https://www.saucedemo.com/checkout-step-one.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hyperlink" Target="https://www.saucedemo.com/inventory.html%E3%80%8D%E3%81%A7%E3%81%82%E3%82%8B%E3%80%82" TargetMode="External"/><Relationship Id="rId3" Type="http://schemas.openxmlformats.org/officeDocument/2006/relationships/hyperlink" Target="https://www.saucedemo.com/%E3%80%8D%E3%81%A7%E3%81%82%E3%82%8B%E3%80%82" TargetMode="External"/><Relationship Id="rId4" Type="http://schemas.openxmlformats.org/officeDocument/2006/relationships/hyperlink" Target="https://www.saucedemo.com/cart.html%E3%80%8D%E3%81%A7%E3%81%82%E3%82%8B%E3%80%82"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inventory-item.html?id=0" TargetMode="External"/><Relationship Id="rId2" Type="http://schemas.openxmlformats.org/officeDocument/2006/relationships/hyperlink" Target="https://www.saucedemo.com/inventory-item.html?id=%EF%BC%9C%E5%95%86%E5%93%81ID%EF%BC%9E%E3%80%8D%E3%81%A7%E3%81%82%E3%82%8B%E3%80%82" TargetMode="External"/><Relationship Id="rId3" Type="http://schemas.openxmlformats.org/officeDocument/2006/relationships/hyperlink" Target="https://www.saucedemo.com/%E3%80%8D%E3%81%A7%E3%81%82%E3%82%8B%E3%80%82" TargetMode="External"/><Relationship Id="rId4" Type="http://schemas.openxmlformats.org/officeDocument/2006/relationships/hyperlink" Target="https://www.saucedemo.com/inventory.html%E3%80%8D%E3%81%A7%E3%81%82%E3%82%8B%E3%80%82" TargetMode="External"/><Relationship Id="rId5" Type="http://schemas.openxmlformats.org/officeDocument/2006/relationships/hyperlink" Target="https://www.saucedemo.com/cart.html%E3%80%8D%E3%81%A7%E3%81%82%E3%82%8B%E3%80%82"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cart.html" TargetMode="External"/><Relationship Id="rId2" Type="http://schemas.openxmlformats.org/officeDocument/2006/relationships/hyperlink" Target="https://www.saucedemo.com/cart.html%E3%80%8D%E3%81%A7%E3%81%82%E3%82%8B%E3%80%82" TargetMode="External"/><Relationship Id="rId3" Type="http://schemas.openxmlformats.org/officeDocument/2006/relationships/hyperlink" Target="https://www.saucedemo.com/%E3%80%8D%E3%81%A7%E3%81%82%E3%82%8B%E3%80%82" TargetMode="External"/><Relationship Id="rId4" Type="http://schemas.openxmlformats.org/officeDocument/2006/relationships/hyperlink" Target="https://www.saucedemo.com/inventory.html%E3%80%8D%E3%81%A7%E3%81%82%E3%82%8B%E3%80%82" TargetMode="External"/><Relationship Id="rId9" Type="http://schemas.openxmlformats.org/officeDocument/2006/relationships/drawing" Target="../drawings/drawing5.xml"/><Relationship Id="rId5" Type="http://schemas.openxmlformats.org/officeDocument/2006/relationships/hyperlink" Target="https://www.saucedemo.com/%E3%80%8D%E3%81%A7%E3%81%82%E3%82%8B%E3%80%82" TargetMode="External"/><Relationship Id="rId6" Type="http://schemas.openxmlformats.org/officeDocument/2006/relationships/hyperlink" Target="https://www.saucedemo.com/checkout-step-one.html%E3%80%8D%E3%81%A7%E3%81%82%E3%82%8B%E3%80%82" TargetMode="External"/><Relationship Id="rId7" Type="http://schemas.openxmlformats.org/officeDocument/2006/relationships/hyperlink" Target="https://www.saucedemo.com/inventory.html%E3%80%8D%E3%81%A7%E3%81%82%E3%82%8B%E3%80%82" TargetMode="External"/><Relationship Id="rId8" Type="http://schemas.openxmlformats.org/officeDocument/2006/relationships/hyperlink" Target="https://www.saucedemo.com/checkout-step-one.html%E3%80%8D%E3%81%A7%E3%81%82%E3%82%8B%E3%80%8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aucedemo.com/checkout-step-one.html" TargetMode="External"/><Relationship Id="rId2" Type="http://schemas.openxmlformats.org/officeDocument/2006/relationships/hyperlink" Target="https://www.saucedemo.com/checkout-step-one.html" TargetMode="External"/><Relationship Id="rId3" Type="http://schemas.openxmlformats.org/officeDocument/2006/relationships/hyperlink" Target="https://www.saucedemo.com/%E3%80%8D%E3%81%A7%E3%81%82%E3%82%8B%E3%80%82" TargetMode="External"/><Relationship Id="rId4" Type="http://schemas.openxmlformats.org/officeDocument/2006/relationships/hyperlink" Target="https://www.saucedemo.com/checkout-step-two.html" TargetMode="External"/><Relationship Id="rId5" Type="http://schemas.openxmlformats.org/officeDocument/2006/relationships/hyperlink" Target="https://www.saucedemo.com/cart.html" TargetMode="External"/><Relationship Id="rId6" Type="http://schemas.openxmlformats.org/officeDocument/2006/relationships/hyperlink" Target="https://www.saucedemo.com/cart.html"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aucedemo.com/checkout-step-two.html" TargetMode="External"/><Relationship Id="rId2" Type="http://schemas.openxmlformats.org/officeDocument/2006/relationships/hyperlink" Target="https://www.saucedemo.com/%E3%80%8D%E3%81%A7%E3%81%82%E3%82%8B%E3%80%82"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ucedemo.com/checkout-step-two.html" TargetMode="External"/><Relationship Id="rId2" Type="http://schemas.openxmlformats.org/officeDocument/2006/relationships/hyperlink" Target="https://www.saucedemo.com/%E3%80%8D%E3%81%A7%E3%81%82%E3%82%8B%E3%80%82"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COUNTIF(G24:G235,"*")</f>
        <v>29</v>
      </c>
      <c r="J1" s="1"/>
    </row>
    <row r="2">
      <c r="A2" s="1"/>
      <c r="B2" s="4" t="s">
        <v>1</v>
      </c>
      <c r="C2" s="5" t="s">
        <v>2</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COUNTIF($I$24:$I$235,$C6)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COUNTIF($H$24:$H$235,$C10)</f>
        <v>0</v>
      </c>
      <c r="E10" s="12"/>
      <c r="F10" s="1"/>
      <c r="G10" s="1"/>
      <c r="H10" s="1"/>
      <c r="I10" s="1"/>
      <c r="J10" s="1"/>
    </row>
    <row r="11">
      <c r="A11" s="1"/>
      <c r="B11" s="3">
        <v>2.0</v>
      </c>
      <c r="C11" s="10" t="s">
        <v>27</v>
      </c>
      <c r="D11" s="11">
        <f t="shared" si="2"/>
        <v>0</v>
      </c>
      <c r="E11" s="12"/>
      <c r="F11" s="1"/>
      <c r="G11" s="1"/>
      <c r="H11" s="1"/>
      <c r="I11" s="1"/>
      <c r="J11" s="1"/>
    </row>
    <row r="12">
      <c r="A12" s="1"/>
      <c r="B12" s="3">
        <v>3.0</v>
      </c>
      <c r="C12" s="10" t="s">
        <v>28</v>
      </c>
      <c r="D12" s="14">
        <f t="shared" si="2"/>
        <v>0</v>
      </c>
      <c r="E12" s="10" t="s">
        <v>29</v>
      </c>
      <c r="F12" s="1"/>
      <c r="G12" s="1"/>
      <c r="H12" s="1"/>
      <c r="I12" s="1"/>
      <c r="J12" s="1"/>
    </row>
    <row r="13">
      <c r="A13" s="1"/>
      <c r="B13" s="3">
        <v>4.0</v>
      </c>
      <c r="C13" s="10" t="s">
        <v>30</v>
      </c>
      <c r="D13" s="14">
        <f t="shared" si="2"/>
        <v>0</v>
      </c>
      <c r="E13" s="10" t="s">
        <v>29</v>
      </c>
      <c r="F13" s="1"/>
      <c r="G13" s="1"/>
      <c r="H13" s="1"/>
      <c r="I13" s="1"/>
      <c r="J13" s="1"/>
    </row>
    <row r="14">
      <c r="A14" s="1"/>
      <c r="B14" s="3">
        <v>5.0</v>
      </c>
      <c r="C14" s="10" t="s">
        <v>31</v>
      </c>
      <c r="D14" s="14">
        <f t="shared" si="2"/>
        <v>0</v>
      </c>
      <c r="E14" s="10" t="s">
        <v>29</v>
      </c>
      <c r="F14" s="1"/>
      <c r="G14" s="1"/>
      <c r="H14" s="1"/>
      <c r="I14" s="1"/>
      <c r="J14" s="1"/>
    </row>
    <row r="15">
      <c r="A15" s="1"/>
      <c r="B15" s="3">
        <v>6.0</v>
      </c>
      <c r="C15" s="10" t="s">
        <v>32</v>
      </c>
      <c r="D15" s="14">
        <f t="shared" si="2"/>
        <v>0</v>
      </c>
      <c r="E15" s="10" t="s">
        <v>29</v>
      </c>
      <c r="F15" s="1"/>
      <c r="G15" s="1"/>
      <c r="H15" s="1"/>
      <c r="I15" s="1"/>
      <c r="J15" s="1"/>
    </row>
    <row r="16">
      <c r="A16" s="1"/>
      <c r="B16" s="3">
        <v>7.0</v>
      </c>
      <c r="C16" s="10" t="s">
        <v>33</v>
      </c>
      <c r="D16" s="14">
        <f t="shared" si="2"/>
        <v>0</v>
      </c>
      <c r="E16" s="10" t="s">
        <v>29</v>
      </c>
      <c r="F16" s="1"/>
      <c r="G16" s="1"/>
      <c r="H16" s="1"/>
      <c r="I16" s="1"/>
      <c r="J16" s="1"/>
    </row>
    <row r="17">
      <c r="A17" s="1"/>
      <c r="B17" s="3">
        <v>8.0</v>
      </c>
      <c r="C17" s="10" t="s">
        <v>34</v>
      </c>
      <c r="D17" s="11">
        <f t="shared" si="2"/>
        <v>0</v>
      </c>
      <c r="E17" s="12"/>
      <c r="F17" s="1"/>
      <c r="G17" s="1"/>
      <c r="H17" s="1"/>
      <c r="I17" s="1"/>
      <c r="J17" s="1"/>
    </row>
    <row r="18">
      <c r="A18" s="1"/>
      <c r="B18" s="3">
        <v>9.0</v>
      </c>
      <c r="C18" s="10" t="s">
        <v>35</v>
      </c>
      <c r="D18" s="14">
        <f t="shared" si="2"/>
        <v>0</v>
      </c>
      <c r="E18" s="10" t="s">
        <v>29</v>
      </c>
      <c r="F18" s="1"/>
      <c r="G18" s="1"/>
      <c r="H18" s="1"/>
      <c r="I18" s="1"/>
      <c r="J18" s="1"/>
    </row>
    <row r="19">
      <c r="A19" s="1"/>
      <c r="B19" s="1"/>
      <c r="C19" s="1"/>
      <c r="D19" s="1"/>
      <c r="E19" s="1"/>
      <c r="F19" s="1"/>
      <c r="G19" s="1"/>
      <c r="H19" s="1"/>
      <c r="I19" s="1"/>
      <c r="J19" s="15"/>
    </row>
    <row r="20">
      <c r="A20" s="1"/>
      <c r="B20" s="1"/>
      <c r="C20" s="1"/>
      <c r="D20" s="1"/>
      <c r="E20" s="1"/>
      <c r="F20" s="1"/>
      <c r="G20" s="1"/>
      <c r="H20" s="1"/>
      <c r="I20" s="1"/>
      <c r="J20" s="1"/>
    </row>
    <row r="21">
      <c r="A21" s="1"/>
      <c r="B21" s="1"/>
      <c r="C21" s="1"/>
      <c r="D21" s="1"/>
      <c r="E21" s="1"/>
      <c r="F21" s="1"/>
      <c r="G21" s="1"/>
      <c r="H21" s="1"/>
      <c r="I21" s="1"/>
      <c r="J21" s="1"/>
    </row>
    <row r="22">
      <c r="A22" s="1"/>
      <c r="B22" s="16" t="s">
        <v>36</v>
      </c>
      <c r="C22" s="17"/>
      <c r="D22" s="17"/>
      <c r="E22" s="17"/>
      <c r="F22" s="17"/>
      <c r="G22" s="17"/>
      <c r="H22" s="17"/>
      <c r="I22" s="17"/>
      <c r="J22" s="17"/>
    </row>
    <row r="23">
      <c r="A23" s="1"/>
      <c r="B23" s="18" t="s">
        <v>37</v>
      </c>
      <c r="C23" s="19" t="s">
        <v>38</v>
      </c>
      <c r="D23" s="19" t="s">
        <v>39</v>
      </c>
      <c r="E23" s="19" t="s">
        <v>40</v>
      </c>
      <c r="F23" s="19" t="s">
        <v>41</v>
      </c>
      <c r="G23" s="19" t="s">
        <v>42</v>
      </c>
      <c r="H23" s="20" t="s">
        <v>43</v>
      </c>
      <c r="I23" s="20" t="s">
        <v>12</v>
      </c>
      <c r="J23" s="20" t="s">
        <v>44</v>
      </c>
    </row>
    <row r="24">
      <c r="A24" s="1"/>
      <c r="B24" s="21" t="str">
        <f t="shared" ref="B24:B52" si="3">$C$2 &amp; "-" &amp; ROW()-23</f>
        <v>Login-1</v>
      </c>
      <c r="C24" s="22" t="s">
        <v>45</v>
      </c>
      <c r="D24" s="22" t="s">
        <v>46</v>
      </c>
      <c r="E24" s="22" t="s">
        <v>47</v>
      </c>
      <c r="F24" s="23" t="s">
        <v>48</v>
      </c>
      <c r="G24" s="22" t="s">
        <v>49</v>
      </c>
      <c r="H24" s="24"/>
      <c r="I24" s="10"/>
      <c r="J24" s="10"/>
    </row>
    <row r="25">
      <c r="A25" s="1"/>
      <c r="B25" s="21" t="str">
        <f t="shared" si="3"/>
        <v>Login-2</v>
      </c>
      <c r="C25" s="25" t="s">
        <v>50</v>
      </c>
      <c r="D25" s="22" t="s">
        <v>51</v>
      </c>
      <c r="E25" s="22" t="s">
        <v>52</v>
      </c>
      <c r="F25" s="22" t="s">
        <v>53</v>
      </c>
      <c r="G25" s="22" t="s">
        <v>54</v>
      </c>
      <c r="H25" s="24"/>
      <c r="I25" s="10"/>
      <c r="J25" s="10"/>
    </row>
    <row r="26">
      <c r="A26" s="1"/>
      <c r="B26" s="21" t="str">
        <f t="shared" si="3"/>
        <v>Login-3</v>
      </c>
      <c r="C26" s="26"/>
      <c r="D26" s="22" t="s">
        <v>55</v>
      </c>
      <c r="E26" s="22" t="s">
        <v>52</v>
      </c>
      <c r="F26" s="22" t="s">
        <v>56</v>
      </c>
      <c r="G26" s="22" t="s">
        <v>57</v>
      </c>
      <c r="H26" s="24"/>
      <c r="I26" s="10"/>
      <c r="J26" s="10"/>
    </row>
    <row r="27">
      <c r="A27" s="1"/>
      <c r="B27" s="21" t="str">
        <f t="shared" si="3"/>
        <v>Login-4</v>
      </c>
      <c r="C27" s="27" t="s">
        <v>58</v>
      </c>
      <c r="D27" s="28" t="s">
        <v>59</v>
      </c>
      <c r="E27" s="22" t="s">
        <v>52</v>
      </c>
      <c r="F27" s="22" t="s">
        <v>60</v>
      </c>
      <c r="G27" s="22" t="s">
        <v>61</v>
      </c>
      <c r="H27" s="24"/>
      <c r="I27" s="10"/>
      <c r="J27" s="10"/>
    </row>
    <row r="28">
      <c r="A28" s="1"/>
      <c r="B28" s="21" t="str">
        <f t="shared" si="3"/>
        <v>Login-5</v>
      </c>
      <c r="C28" s="29"/>
      <c r="D28" s="28" t="s">
        <v>62</v>
      </c>
      <c r="E28" s="22" t="s">
        <v>52</v>
      </c>
      <c r="F28" s="22" t="s">
        <v>63</v>
      </c>
      <c r="G28" s="22" t="s">
        <v>64</v>
      </c>
      <c r="H28" s="24"/>
      <c r="I28" s="10"/>
      <c r="J28" s="10"/>
    </row>
    <row r="29">
      <c r="A29" s="1"/>
      <c r="B29" s="21" t="str">
        <f t="shared" si="3"/>
        <v>Login-6</v>
      </c>
      <c r="C29" s="29"/>
      <c r="D29" s="28" t="s">
        <v>65</v>
      </c>
      <c r="E29" s="22" t="s">
        <v>66</v>
      </c>
      <c r="F29" s="22" t="s">
        <v>67</v>
      </c>
      <c r="G29" s="22" t="s">
        <v>68</v>
      </c>
      <c r="H29" s="24"/>
      <c r="I29" s="10"/>
      <c r="J29" s="10"/>
    </row>
    <row r="30">
      <c r="A30" s="1"/>
      <c r="B30" s="21" t="str">
        <f t="shared" si="3"/>
        <v>Login-7</v>
      </c>
      <c r="C30" s="29"/>
      <c r="D30" s="28" t="s">
        <v>69</v>
      </c>
      <c r="E30" s="22" t="s">
        <v>70</v>
      </c>
      <c r="F30" s="22" t="s">
        <v>71</v>
      </c>
      <c r="G30" s="22" t="s">
        <v>72</v>
      </c>
      <c r="H30" s="24"/>
      <c r="I30" s="24"/>
      <c r="J30" s="10"/>
    </row>
    <row r="31">
      <c r="A31" s="1"/>
      <c r="B31" s="21" t="str">
        <f t="shared" si="3"/>
        <v>Login-8</v>
      </c>
      <c r="C31" s="30"/>
      <c r="D31" s="28" t="s">
        <v>73</v>
      </c>
      <c r="E31" s="22" t="s">
        <v>70</v>
      </c>
      <c r="F31" s="22" t="s">
        <v>71</v>
      </c>
      <c r="G31" s="22" t="s">
        <v>74</v>
      </c>
      <c r="H31" s="24"/>
      <c r="I31" s="24"/>
      <c r="J31" s="10"/>
    </row>
    <row r="32">
      <c r="A32" s="1"/>
      <c r="B32" s="21" t="str">
        <f t="shared" si="3"/>
        <v>Login-9</v>
      </c>
      <c r="C32" s="31" t="s">
        <v>75</v>
      </c>
      <c r="D32" s="28" t="s">
        <v>59</v>
      </c>
      <c r="E32" s="22" t="s">
        <v>52</v>
      </c>
      <c r="F32" s="22" t="s">
        <v>76</v>
      </c>
      <c r="G32" s="22" t="s">
        <v>77</v>
      </c>
      <c r="H32" s="24"/>
      <c r="I32" s="10"/>
      <c r="J32" s="10"/>
    </row>
    <row r="33">
      <c r="A33" s="1"/>
      <c r="B33" s="21" t="str">
        <f t="shared" si="3"/>
        <v>Login-10</v>
      </c>
      <c r="C33" s="29"/>
      <c r="D33" s="28" t="s">
        <v>78</v>
      </c>
      <c r="E33" s="22" t="s">
        <v>52</v>
      </c>
      <c r="F33" s="22" t="s">
        <v>79</v>
      </c>
      <c r="G33" s="22" t="s">
        <v>80</v>
      </c>
      <c r="H33" s="24"/>
      <c r="I33" s="10"/>
      <c r="J33" s="10"/>
    </row>
    <row r="34">
      <c r="A34" s="1"/>
      <c r="B34" s="21" t="str">
        <f t="shared" si="3"/>
        <v>Login-11</v>
      </c>
      <c r="C34" s="29"/>
      <c r="D34" s="28" t="s">
        <v>65</v>
      </c>
      <c r="E34" s="22" t="s">
        <v>81</v>
      </c>
      <c r="F34" s="22" t="s">
        <v>67</v>
      </c>
      <c r="G34" s="22" t="s">
        <v>82</v>
      </c>
      <c r="H34" s="24"/>
      <c r="I34" s="10"/>
      <c r="J34" s="10"/>
    </row>
    <row r="35">
      <c r="A35" s="1"/>
      <c r="B35" s="21" t="str">
        <f t="shared" si="3"/>
        <v>Login-12</v>
      </c>
      <c r="C35" s="29"/>
      <c r="D35" s="28" t="s">
        <v>69</v>
      </c>
      <c r="E35" s="22" t="s">
        <v>83</v>
      </c>
      <c r="F35" s="22" t="s">
        <v>71</v>
      </c>
      <c r="G35" s="22" t="s">
        <v>84</v>
      </c>
      <c r="H35" s="24"/>
      <c r="I35" s="24"/>
      <c r="J35" s="10"/>
    </row>
    <row r="36">
      <c r="A36" s="1"/>
      <c r="B36" s="21" t="str">
        <f t="shared" si="3"/>
        <v>Login-13</v>
      </c>
      <c r="C36" s="30"/>
      <c r="D36" s="28" t="s">
        <v>73</v>
      </c>
      <c r="E36" s="22" t="s">
        <v>83</v>
      </c>
      <c r="F36" s="22" t="s">
        <v>71</v>
      </c>
      <c r="G36" s="22" t="s">
        <v>85</v>
      </c>
      <c r="H36" s="24"/>
      <c r="I36" s="24"/>
      <c r="J36" s="10"/>
    </row>
    <row r="37">
      <c r="A37" s="1"/>
      <c r="B37" s="21" t="str">
        <f t="shared" si="3"/>
        <v>Login-14</v>
      </c>
      <c r="C37" s="25" t="s">
        <v>86</v>
      </c>
      <c r="D37" s="22" t="s">
        <v>87</v>
      </c>
      <c r="E37" s="22" t="s">
        <v>52</v>
      </c>
      <c r="F37" s="22" t="s">
        <v>88</v>
      </c>
      <c r="G37" s="22" t="s">
        <v>89</v>
      </c>
      <c r="H37" s="24"/>
      <c r="I37" s="10"/>
      <c r="J37" s="10"/>
    </row>
    <row r="38">
      <c r="A38" s="1"/>
      <c r="B38" s="21" t="str">
        <f t="shared" si="3"/>
        <v>Login-15</v>
      </c>
      <c r="C38" s="26"/>
      <c r="D38" s="22" t="s">
        <v>90</v>
      </c>
      <c r="E38" s="22" t="s">
        <v>52</v>
      </c>
      <c r="F38" s="22" t="s">
        <v>71</v>
      </c>
      <c r="G38" s="22" t="s">
        <v>91</v>
      </c>
      <c r="H38" s="24"/>
      <c r="I38" s="10"/>
      <c r="J38" s="10"/>
    </row>
    <row r="39">
      <c r="A39" s="1"/>
      <c r="B39" s="21" t="str">
        <f t="shared" si="3"/>
        <v>Login-16</v>
      </c>
      <c r="C39" s="25" t="s">
        <v>92</v>
      </c>
      <c r="D39" s="22" t="s">
        <v>70</v>
      </c>
      <c r="E39" s="22" t="s">
        <v>52</v>
      </c>
      <c r="F39" s="22" t="s">
        <v>93</v>
      </c>
      <c r="G39" s="22" t="s">
        <v>94</v>
      </c>
      <c r="H39" s="24"/>
      <c r="I39" s="10"/>
      <c r="J39" s="10"/>
    </row>
    <row r="40">
      <c r="A40" s="1"/>
      <c r="B40" s="21" t="str">
        <f t="shared" si="3"/>
        <v>Login-17</v>
      </c>
      <c r="C40" s="32"/>
      <c r="D40" s="22" t="s">
        <v>95</v>
      </c>
      <c r="E40" s="22" t="s">
        <v>52</v>
      </c>
      <c r="F40" s="22" t="s">
        <v>96</v>
      </c>
      <c r="G40" s="22" t="s">
        <v>94</v>
      </c>
      <c r="H40" s="24"/>
      <c r="I40" s="10"/>
      <c r="J40" s="10"/>
    </row>
    <row r="41">
      <c r="A41" s="1"/>
      <c r="B41" s="21" t="str">
        <f t="shared" si="3"/>
        <v>Login-18</v>
      </c>
      <c r="C41" s="32"/>
      <c r="D41" s="22" t="s">
        <v>97</v>
      </c>
      <c r="E41" s="22" t="s">
        <v>52</v>
      </c>
      <c r="F41" s="22" t="s">
        <v>98</v>
      </c>
      <c r="G41" s="22" t="s">
        <v>99</v>
      </c>
      <c r="H41" s="24"/>
      <c r="I41" s="10"/>
      <c r="J41" s="10"/>
    </row>
    <row r="42">
      <c r="A42" s="1"/>
      <c r="B42" s="21" t="str">
        <f t="shared" si="3"/>
        <v>Login-19</v>
      </c>
      <c r="C42" s="32"/>
      <c r="D42" s="22" t="s">
        <v>100</v>
      </c>
      <c r="E42" s="22" t="s">
        <v>101</v>
      </c>
      <c r="F42" s="22" t="s">
        <v>102</v>
      </c>
      <c r="G42" s="22" t="s">
        <v>103</v>
      </c>
      <c r="H42" s="24"/>
      <c r="I42" s="24"/>
      <c r="J42" s="10"/>
    </row>
    <row r="43">
      <c r="A43" s="1"/>
      <c r="B43" s="21" t="str">
        <f t="shared" si="3"/>
        <v>Login-20</v>
      </c>
      <c r="C43" s="26"/>
      <c r="D43" s="22" t="s">
        <v>104</v>
      </c>
      <c r="E43" s="22" t="s">
        <v>105</v>
      </c>
      <c r="F43" s="22" t="s">
        <v>106</v>
      </c>
      <c r="G43" s="22" t="s">
        <v>107</v>
      </c>
      <c r="H43" s="24"/>
      <c r="I43" s="24"/>
      <c r="J43" s="10"/>
    </row>
    <row r="44">
      <c r="A44" s="1"/>
      <c r="B44" s="21" t="str">
        <f t="shared" si="3"/>
        <v>Login-21</v>
      </c>
      <c r="C44" s="25" t="s">
        <v>2</v>
      </c>
      <c r="D44" s="22" t="s">
        <v>108</v>
      </c>
      <c r="E44" s="22" t="s">
        <v>52</v>
      </c>
      <c r="F44" s="22" t="s">
        <v>109</v>
      </c>
      <c r="G44" s="22" t="s">
        <v>110</v>
      </c>
      <c r="H44" s="24"/>
      <c r="I44" s="10"/>
      <c r="J44" s="10"/>
    </row>
    <row r="45">
      <c r="A45" s="1"/>
      <c r="B45" s="21" t="str">
        <f t="shared" si="3"/>
        <v>Login-22</v>
      </c>
      <c r="C45" s="32"/>
      <c r="D45" s="22" t="s">
        <v>111</v>
      </c>
      <c r="E45" s="22" t="s">
        <v>52</v>
      </c>
      <c r="F45" s="22" t="s">
        <v>112</v>
      </c>
      <c r="G45" s="22" t="s">
        <v>110</v>
      </c>
      <c r="H45" s="24"/>
      <c r="I45" s="10"/>
      <c r="J45" s="10"/>
    </row>
    <row r="46">
      <c r="A46" s="1"/>
      <c r="B46" s="21" t="str">
        <f t="shared" si="3"/>
        <v>Login-23</v>
      </c>
      <c r="C46" s="32"/>
      <c r="D46" s="22" t="s">
        <v>113</v>
      </c>
      <c r="E46" s="22" t="s">
        <v>52</v>
      </c>
      <c r="F46" s="22" t="s">
        <v>114</v>
      </c>
      <c r="G46" s="22" t="s">
        <v>115</v>
      </c>
      <c r="H46" s="24"/>
      <c r="I46" s="24"/>
      <c r="J46" s="10"/>
    </row>
    <row r="47">
      <c r="A47" s="1"/>
      <c r="B47" s="21" t="str">
        <f t="shared" si="3"/>
        <v>Login-24</v>
      </c>
      <c r="C47" s="32"/>
      <c r="D47" s="22" t="s">
        <v>116</v>
      </c>
      <c r="E47" s="22" t="s">
        <v>52</v>
      </c>
      <c r="F47" s="22" t="s">
        <v>117</v>
      </c>
      <c r="G47" s="22" t="s">
        <v>115</v>
      </c>
      <c r="H47" s="24"/>
      <c r="I47" s="24"/>
      <c r="J47" s="10"/>
    </row>
    <row r="48">
      <c r="A48" s="1"/>
      <c r="B48" s="21" t="str">
        <f t="shared" si="3"/>
        <v>Login-25</v>
      </c>
      <c r="C48" s="26"/>
      <c r="D48" s="22" t="s">
        <v>118</v>
      </c>
      <c r="E48" s="22" t="s">
        <v>52</v>
      </c>
      <c r="F48" s="22" t="s">
        <v>119</v>
      </c>
      <c r="G48" s="22" t="s">
        <v>115</v>
      </c>
      <c r="H48" s="24"/>
      <c r="I48" s="24"/>
      <c r="J48" s="10"/>
    </row>
    <row r="49">
      <c r="A49" s="1"/>
      <c r="B49" s="21" t="str">
        <f t="shared" si="3"/>
        <v>Login-26</v>
      </c>
      <c r="C49" s="25" t="s">
        <v>120</v>
      </c>
      <c r="D49" s="22" t="s">
        <v>121</v>
      </c>
      <c r="E49" s="22" t="s">
        <v>52</v>
      </c>
      <c r="F49" s="22" t="s">
        <v>122</v>
      </c>
      <c r="G49" s="22" t="s">
        <v>123</v>
      </c>
      <c r="H49" s="24"/>
      <c r="I49" s="10"/>
      <c r="J49" s="10"/>
    </row>
    <row r="50">
      <c r="A50" s="1"/>
      <c r="B50" s="21" t="str">
        <f t="shared" si="3"/>
        <v>Login-27</v>
      </c>
      <c r="C50" s="32"/>
      <c r="D50" s="22" t="s">
        <v>124</v>
      </c>
      <c r="E50" s="22" t="s">
        <v>52</v>
      </c>
      <c r="F50" s="22" t="s">
        <v>125</v>
      </c>
      <c r="G50" s="22" t="s">
        <v>126</v>
      </c>
      <c r="H50" s="24"/>
      <c r="I50" s="10"/>
      <c r="J50" s="10"/>
    </row>
    <row r="51">
      <c r="A51" s="1"/>
      <c r="B51" s="21" t="str">
        <f t="shared" si="3"/>
        <v>Login-28</v>
      </c>
      <c r="C51" s="32"/>
      <c r="D51" s="22" t="s">
        <v>127</v>
      </c>
      <c r="E51" s="22" t="s">
        <v>52</v>
      </c>
      <c r="F51" s="22" t="s">
        <v>122</v>
      </c>
      <c r="G51" s="22" t="s">
        <v>128</v>
      </c>
      <c r="H51" s="24"/>
      <c r="I51" s="10"/>
      <c r="J51" s="10"/>
    </row>
    <row r="52">
      <c r="A52" s="1"/>
      <c r="B52" s="21" t="str">
        <f t="shared" si="3"/>
        <v>Login-29</v>
      </c>
      <c r="C52" s="26"/>
      <c r="D52" s="22" t="s">
        <v>129</v>
      </c>
      <c r="E52" s="22" t="s">
        <v>52</v>
      </c>
      <c r="F52" s="22" t="s">
        <v>130</v>
      </c>
      <c r="G52" s="22" t="s">
        <v>131</v>
      </c>
      <c r="H52" s="24"/>
      <c r="I52" s="10"/>
      <c r="J52" s="10"/>
    </row>
    <row r="53">
      <c r="A53" s="1"/>
      <c r="B53" s="21"/>
      <c r="C53" s="33"/>
      <c r="D53" s="33"/>
      <c r="E53" s="10"/>
      <c r="F53" s="10"/>
      <c r="G53" s="10"/>
      <c r="H53" s="24"/>
      <c r="I53" s="10"/>
      <c r="J53" s="10"/>
    </row>
    <row r="54">
      <c r="A54" s="1"/>
      <c r="B54" s="21"/>
      <c r="C54" s="33"/>
      <c r="D54" s="33"/>
      <c r="E54" s="10"/>
      <c r="F54" s="10"/>
      <c r="G54" s="10"/>
      <c r="H54" s="24"/>
      <c r="I54" s="10"/>
      <c r="J54" s="10"/>
    </row>
    <row r="55">
      <c r="A55" s="1"/>
      <c r="B55" s="21"/>
      <c r="C55" s="33"/>
      <c r="D55" s="33"/>
      <c r="E55" s="10"/>
      <c r="F55" s="10"/>
      <c r="G55" s="10"/>
      <c r="H55" s="24"/>
      <c r="I55" s="10"/>
      <c r="J55" s="10"/>
    </row>
    <row r="56">
      <c r="A56" s="1"/>
      <c r="B56" s="21"/>
      <c r="C56" s="33"/>
      <c r="D56" s="33"/>
      <c r="E56" s="10"/>
      <c r="F56" s="10"/>
      <c r="G56" s="10"/>
      <c r="H56" s="24"/>
      <c r="I56" s="10"/>
      <c r="J56" s="10"/>
    </row>
    <row r="57">
      <c r="A57" s="1"/>
      <c r="B57" s="21"/>
      <c r="C57" s="33"/>
      <c r="D57" s="33"/>
      <c r="E57" s="10"/>
      <c r="F57" s="10"/>
      <c r="G57" s="10"/>
      <c r="H57" s="24"/>
      <c r="I57" s="10"/>
      <c r="J57" s="10"/>
    </row>
    <row r="58">
      <c r="A58" s="1"/>
      <c r="B58" s="21"/>
      <c r="C58" s="33"/>
      <c r="D58" s="33"/>
      <c r="E58" s="10"/>
      <c r="F58" s="10"/>
      <c r="G58" s="10"/>
      <c r="H58" s="24"/>
      <c r="I58" s="10"/>
      <c r="J58" s="10"/>
    </row>
    <row r="59">
      <c r="A59" s="1"/>
      <c r="B59" s="21"/>
      <c r="C59" s="33"/>
      <c r="D59" s="33"/>
      <c r="E59" s="10"/>
      <c r="F59" s="10"/>
      <c r="G59" s="10"/>
      <c r="H59" s="24"/>
      <c r="I59" s="10"/>
      <c r="J59" s="10"/>
    </row>
    <row r="60">
      <c r="A60" s="1"/>
      <c r="B60" s="21"/>
      <c r="C60" s="33"/>
      <c r="D60" s="33"/>
      <c r="E60" s="10"/>
      <c r="F60" s="10"/>
      <c r="G60" s="10"/>
      <c r="H60" s="24"/>
      <c r="I60" s="10"/>
      <c r="J60" s="10"/>
    </row>
    <row r="61">
      <c r="A61" s="1"/>
      <c r="B61" s="21"/>
      <c r="C61" s="33"/>
      <c r="D61" s="33"/>
      <c r="E61" s="10"/>
      <c r="F61" s="10"/>
      <c r="G61" s="10"/>
      <c r="H61" s="24"/>
      <c r="I61" s="10"/>
      <c r="J61" s="10"/>
    </row>
    <row r="62">
      <c r="A62" s="1"/>
      <c r="B62" s="21"/>
      <c r="C62" s="33"/>
      <c r="D62" s="33"/>
      <c r="E62" s="10"/>
      <c r="F62" s="10"/>
      <c r="G62" s="10"/>
      <c r="H62" s="24"/>
      <c r="I62" s="10"/>
      <c r="J62" s="10"/>
    </row>
    <row r="63">
      <c r="A63" s="1"/>
      <c r="B63" s="21"/>
      <c r="C63" s="33"/>
      <c r="D63" s="33"/>
      <c r="E63" s="10"/>
      <c r="F63" s="10"/>
      <c r="G63" s="10"/>
      <c r="H63" s="24"/>
      <c r="I63" s="10"/>
      <c r="J63" s="10"/>
    </row>
    <row r="64">
      <c r="A64" s="1"/>
      <c r="B64" s="21"/>
      <c r="C64" s="33"/>
      <c r="D64" s="33"/>
      <c r="E64" s="10"/>
      <c r="F64" s="10"/>
      <c r="G64" s="10"/>
      <c r="H64" s="24"/>
      <c r="I64" s="10"/>
      <c r="J64" s="10"/>
    </row>
    <row r="65">
      <c r="A65" s="1"/>
      <c r="B65" s="21"/>
      <c r="C65" s="33"/>
      <c r="D65" s="33"/>
      <c r="E65" s="10"/>
      <c r="F65" s="10"/>
      <c r="G65" s="10"/>
      <c r="H65" s="24"/>
      <c r="I65" s="10"/>
      <c r="J65" s="10"/>
    </row>
    <row r="66">
      <c r="A66" s="1"/>
      <c r="B66" s="21"/>
      <c r="C66" s="33"/>
      <c r="D66" s="33"/>
      <c r="E66" s="10"/>
      <c r="F66" s="10"/>
      <c r="G66" s="10"/>
      <c r="H66" s="24"/>
      <c r="I66" s="10"/>
      <c r="J66" s="10"/>
    </row>
    <row r="67">
      <c r="A67" s="1"/>
      <c r="B67" s="21"/>
      <c r="C67" s="33"/>
      <c r="D67" s="33"/>
      <c r="E67" s="10"/>
      <c r="F67" s="10"/>
      <c r="G67" s="10"/>
      <c r="H67" s="24"/>
      <c r="I67" s="10"/>
      <c r="J67" s="10"/>
    </row>
    <row r="68">
      <c r="A68" s="1"/>
      <c r="B68" s="21"/>
      <c r="C68" s="33"/>
      <c r="D68" s="33"/>
      <c r="E68" s="10"/>
      <c r="F68" s="10"/>
      <c r="G68" s="10"/>
      <c r="H68" s="24"/>
      <c r="I68" s="10"/>
      <c r="J68" s="10"/>
    </row>
    <row r="69">
      <c r="A69" s="1"/>
      <c r="B69" s="21"/>
      <c r="C69" s="33"/>
      <c r="D69" s="33"/>
      <c r="E69" s="10"/>
      <c r="F69" s="10"/>
      <c r="G69" s="10"/>
      <c r="H69" s="24"/>
      <c r="I69" s="10"/>
      <c r="J69" s="10"/>
    </row>
    <row r="70">
      <c r="A70" s="1"/>
      <c r="B70" s="21"/>
      <c r="C70" s="33"/>
      <c r="D70" s="33"/>
      <c r="E70" s="34"/>
      <c r="F70" s="10"/>
      <c r="G70" s="10"/>
      <c r="H70" s="24"/>
      <c r="I70" s="10"/>
      <c r="J70" s="10"/>
    </row>
    <row r="71">
      <c r="A71" s="1"/>
      <c r="B71" s="21"/>
      <c r="C71" s="33"/>
      <c r="D71" s="33"/>
      <c r="E71" s="34"/>
      <c r="F71" s="10"/>
      <c r="G71" s="10"/>
      <c r="H71" s="24"/>
      <c r="I71" s="10"/>
      <c r="J71" s="10"/>
    </row>
    <row r="72">
      <c r="A72" s="1"/>
      <c r="B72" s="21"/>
      <c r="C72" s="33"/>
      <c r="D72" s="33"/>
      <c r="E72" s="10"/>
      <c r="F72" s="10"/>
      <c r="G72" s="10"/>
      <c r="H72" s="24"/>
      <c r="I72" s="10"/>
      <c r="J72" s="10"/>
    </row>
    <row r="73">
      <c r="A73" s="1"/>
      <c r="B73" s="21"/>
      <c r="C73" s="33"/>
      <c r="D73" s="33"/>
      <c r="E73" s="34"/>
      <c r="F73" s="34"/>
      <c r="G73" s="10"/>
      <c r="H73" s="24"/>
      <c r="I73" s="10"/>
      <c r="J73" s="10"/>
    </row>
    <row r="74">
      <c r="A74" s="1"/>
      <c r="B74" s="21"/>
      <c r="C74" s="33"/>
      <c r="D74" s="33"/>
      <c r="E74" s="10"/>
      <c r="F74" s="10"/>
      <c r="G74" s="10"/>
      <c r="H74" s="24"/>
      <c r="I74" s="10"/>
      <c r="J74" s="10"/>
    </row>
    <row r="75">
      <c r="A75" s="1"/>
      <c r="B75" s="21"/>
      <c r="C75" s="33"/>
      <c r="D75" s="33"/>
      <c r="E75" s="10"/>
      <c r="F75" s="10"/>
      <c r="G75" s="10"/>
      <c r="H75" s="24"/>
      <c r="I75" s="10"/>
      <c r="J75" s="10"/>
    </row>
    <row r="76">
      <c r="A76" s="1"/>
      <c r="B76" s="21"/>
      <c r="C76" s="33"/>
      <c r="D76" s="33"/>
      <c r="E76" s="10"/>
      <c r="F76" s="10"/>
      <c r="G76" s="10"/>
      <c r="H76" s="24"/>
      <c r="I76" s="10"/>
      <c r="J76" s="10"/>
    </row>
    <row r="77">
      <c r="A77" s="1"/>
      <c r="B77" s="21"/>
      <c r="C77" s="33"/>
      <c r="D77" s="33"/>
      <c r="E77" s="10"/>
      <c r="F77" s="7"/>
      <c r="G77" s="10"/>
      <c r="H77" s="24"/>
      <c r="I77" s="10"/>
      <c r="J77" s="10"/>
    </row>
    <row r="78">
      <c r="A78" s="1"/>
      <c r="B78" s="21"/>
      <c r="C78" s="33"/>
      <c r="D78" s="33"/>
      <c r="E78" s="10"/>
      <c r="F78" s="10"/>
      <c r="G78" s="10"/>
      <c r="H78" s="24"/>
      <c r="I78" s="10"/>
      <c r="J78" s="10"/>
    </row>
    <row r="79">
      <c r="A79" s="1"/>
      <c r="B79" s="21"/>
      <c r="C79" s="33"/>
      <c r="D79" s="33"/>
      <c r="E79" s="10"/>
      <c r="F79" s="10"/>
      <c r="G79" s="10"/>
      <c r="H79" s="24"/>
      <c r="I79" s="10"/>
      <c r="J79" s="10"/>
    </row>
    <row r="80">
      <c r="A80" s="1"/>
      <c r="B80" s="21"/>
      <c r="C80" s="33"/>
      <c r="D80" s="33"/>
      <c r="E80" s="10"/>
      <c r="F80" s="10"/>
      <c r="G80" s="10"/>
      <c r="H80" s="24"/>
      <c r="I80" s="10"/>
      <c r="J80" s="10"/>
    </row>
    <row r="81">
      <c r="A81" s="1"/>
      <c r="B81" s="21"/>
      <c r="C81" s="33"/>
      <c r="D81" s="33"/>
      <c r="E81" s="10"/>
      <c r="F81" s="10"/>
      <c r="G81" s="10"/>
      <c r="H81" s="24"/>
      <c r="I81" s="10"/>
      <c r="J81" s="10"/>
    </row>
    <row r="82">
      <c r="A82" s="1"/>
      <c r="B82" s="21"/>
      <c r="C82" s="33"/>
      <c r="D82" s="33"/>
      <c r="E82" s="10"/>
      <c r="F82" s="10"/>
      <c r="G82" s="10"/>
      <c r="H82" s="24"/>
      <c r="I82" s="10"/>
      <c r="J82" s="10"/>
    </row>
    <row r="83">
      <c r="A83" s="1"/>
      <c r="B83" s="21"/>
      <c r="C83" s="33"/>
      <c r="D83" s="33"/>
      <c r="E83" s="10"/>
      <c r="F83" s="10"/>
      <c r="G83" s="10"/>
      <c r="H83" s="24"/>
      <c r="I83" s="10"/>
      <c r="J83" s="10"/>
    </row>
    <row r="84">
      <c r="A84" s="1"/>
      <c r="B84" s="21"/>
      <c r="C84" s="33"/>
      <c r="D84" s="33"/>
      <c r="E84" s="10"/>
      <c r="F84" s="10"/>
      <c r="G84" s="10"/>
      <c r="H84" s="24"/>
      <c r="I84" s="10"/>
      <c r="J84" s="10"/>
    </row>
    <row r="85">
      <c r="A85" s="1"/>
      <c r="B85" s="21"/>
      <c r="C85" s="33"/>
      <c r="D85" s="33"/>
      <c r="E85" s="10"/>
      <c r="F85" s="10"/>
      <c r="G85" s="10"/>
      <c r="H85" s="24"/>
      <c r="I85" s="10"/>
      <c r="J85" s="10"/>
    </row>
    <row r="86">
      <c r="A86" s="1"/>
      <c r="B86" s="21"/>
      <c r="C86" s="33"/>
      <c r="D86" s="33"/>
      <c r="E86" s="10"/>
      <c r="F86" s="10"/>
      <c r="G86" s="10"/>
      <c r="H86" s="24"/>
      <c r="I86" s="10"/>
      <c r="J86" s="10"/>
    </row>
    <row r="87">
      <c r="A87" s="1"/>
      <c r="B87" s="21"/>
      <c r="C87" s="33"/>
      <c r="D87" s="33"/>
      <c r="E87" s="10"/>
      <c r="F87" s="10"/>
      <c r="G87" s="10"/>
      <c r="H87" s="24"/>
      <c r="I87" s="10"/>
      <c r="J87" s="10"/>
    </row>
    <row r="88">
      <c r="A88" s="1"/>
      <c r="B88" s="21"/>
      <c r="C88" s="33"/>
      <c r="D88" s="33"/>
      <c r="E88" s="10"/>
      <c r="F88" s="10"/>
      <c r="G88" s="10"/>
      <c r="H88" s="24"/>
      <c r="I88" s="10"/>
      <c r="J88" s="10"/>
    </row>
    <row r="89">
      <c r="A89" s="1"/>
      <c r="B89" s="21"/>
      <c r="C89" s="33"/>
      <c r="D89" s="33"/>
      <c r="E89" s="10"/>
      <c r="F89" s="10"/>
      <c r="G89" s="10"/>
      <c r="H89" s="24"/>
      <c r="I89" s="10"/>
      <c r="J89" s="10"/>
    </row>
    <row r="90">
      <c r="A90" s="1"/>
      <c r="B90" s="21"/>
      <c r="C90" s="33"/>
      <c r="D90" s="33"/>
      <c r="E90" s="10"/>
      <c r="F90" s="10"/>
      <c r="G90" s="10"/>
      <c r="H90" s="24"/>
      <c r="I90" s="10"/>
      <c r="J90" s="10"/>
    </row>
    <row r="91">
      <c r="A91" s="1"/>
      <c r="B91" s="21"/>
      <c r="C91" s="33"/>
      <c r="D91" s="33"/>
      <c r="E91" s="10"/>
      <c r="F91" s="10"/>
      <c r="G91" s="10"/>
      <c r="H91" s="24"/>
      <c r="I91" s="10"/>
      <c r="J91" s="10"/>
    </row>
    <row r="92">
      <c r="A92" s="1"/>
      <c r="B92" s="21"/>
      <c r="C92" s="33"/>
      <c r="D92" s="33"/>
      <c r="E92" s="10"/>
      <c r="F92" s="10"/>
      <c r="G92" s="10"/>
      <c r="H92" s="24"/>
      <c r="I92" s="10"/>
      <c r="J92" s="10"/>
    </row>
    <row r="93">
      <c r="A93" s="1"/>
      <c r="B93" s="21"/>
      <c r="C93" s="33"/>
      <c r="D93" s="33"/>
      <c r="E93" s="10"/>
      <c r="F93" s="10"/>
      <c r="G93" s="10"/>
      <c r="H93" s="24"/>
      <c r="I93" s="10"/>
      <c r="J93" s="10"/>
    </row>
    <row r="94">
      <c r="A94" s="1"/>
      <c r="B94" s="21"/>
      <c r="C94" s="33"/>
      <c r="D94" s="33"/>
      <c r="E94" s="10"/>
      <c r="F94" s="10"/>
      <c r="G94" s="10"/>
      <c r="H94" s="24"/>
      <c r="I94" s="10"/>
      <c r="J94" s="10"/>
    </row>
    <row r="95">
      <c r="A95" s="1"/>
      <c r="B95" s="21"/>
      <c r="C95" s="33"/>
      <c r="D95" s="33"/>
      <c r="E95" s="10"/>
      <c r="F95" s="10"/>
      <c r="G95" s="10"/>
      <c r="H95" s="24"/>
      <c r="I95" s="10"/>
      <c r="J95" s="10"/>
    </row>
    <row r="96">
      <c r="A96" s="1"/>
      <c r="B96" s="21"/>
      <c r="C96" s="33"/>
      <c r="D96" s="33"/>
      <c r="E96" s="10"/>
      <c r="F96" s="10"/>
      <c r="G96" s="10"/>
      <c r="H96" s="24"/>
      <c r="I96" s="10"/>
      <c r="J96" s="10"/>
    </row>
    <row r="97">
      <c r="A97" s="1"/>
      <c r="B97" s="21"/>
      <c r="C97" s="33"/>
      <c r="D97" s="33"/>
      <c r="E97" s="10"/>
      <c r="F97" s="10"/>
      <c r="G97" s="10"/>
      <c r="H97" s="24"/>
      <c r="I97" s="10"/>
      <c r="J97" s="10"/>
    </row>
    <row r="98">
      <c r="A98" s="1"/>
      <c r="B98" s="21"/>
      <c r="C98" s="33"/>
      <c r="D98" s="33"/>
      <c r="E98" s="35"/>
      <c r="F98" s="36"/>
      <c r="G98" s="10"/>
      <c r="H98" s="24"/>
      <c r="I98" s="10"/>
      <c r="J98" s="10"/>
    </row>
    <row r="99">
      <c r="A99" s="1"/>
      <c r="B99" s="21"/>
      <c r="C99" s="33"/>
      <c r="D99" s="33"/>
      <c r="E99" s="29"/>
      <c r="F99" s="36"/>
      <c r="G99" s="10"/>
      <c r="H99" s="24"/>
      <c r="I99" s="10"/>
      <c r="J99" s="10"/>
    </row>
    <row r="100">
      <c r="A100" s="1"/>
      <c r="B100" s="21"/>
      <c r="C100" s="33"/>
      <c r="D100" s="33"/>
      <c r="E100" s="30"/>
      <c r="F100" s="36"/>
      <c r="G100" s="10"/>
      <c r="H100" s="24"/>
      <c r="I100" s="10"/>
      <c r="J100" s="10"/>
    </row>
    <row r="101">
      <c r="A101" s="1"/>
      <c r="B101" s="21"/>
      <c r="C101" s="33"/>
      <c r="D101" s="33"/>
      <c r="E101" s="10"/>
      <c r="F101" s="36"/>
      <c r="G101" s="10"/>
      <c r="H101" s="10"/>
      <c r="I101" s="10"/>
      <c r="J101" s="37"/>
    </row>
    <row r="102">
      <c r="A102" s="1"/>
      <c r="B102" s="21"/>
      <c r="C102" s="33"/>
      <c r="D102" s="33"/>
      <c r="E102" s="10"/>
      <c r="F102" s="36"/>
      <c r="G102" s="10"/>
      <c r="H102" s="10"/>
      <c r="I102" s="10"/>
      <c r="J102" s="37"/>
    </row>
    <row r="103">
      <c r="A103" s="1"/>
      <c r="B103" s="21"/>
      <c r="C103" s="33"/>
      <c r="D103" s="33"/>
      <c r="E103" s="10"/>
      <c r="F103" s="36"/>
      <c r="G103" s="10"/>
      <c r="H103" s="10"/>
      <c r="I103" s="10"/>
      <c r="J103" s="37"/>
    </row>
    <row r="104">
      <c r="A104" s="1"/>
      <c r="B104" s="21"/>
      <c r="C104" s="33"/>
      <c r="D104" s="33"/>
      <c r="E104" s="10"/>
      <c r="F104" s="10"/>
      <c r="G104" s="10"/>
      <c r="H104" s="10"/>
      <c r="I104" s="10"/>
      <c r="J104" s="37"/>
    </row>
    <row r="105">
      <c r="A105" s="1"/>
      <c r="B105" s="21"/>
      <c r="C105" s="33"/>
      <c r="D105" s="33"/>
      <c r="E105" s="10"/>
      <c r="F105" s="10"/>
      <c r="G105" s="10"/>
      <c r="H105" s="10"/>
      <c r="I105" s="10"/>
      <c r="J105" s="37"/>
    </row>
    <row r="106">
      <c r="A106" s="1"/>
      <c r="B106" s="21"/>
      <c r="C106" s="33"/>
      <c r="D106" s="33"/>
      <c r="E106" s="10"/>
      <c r="F106" s="10"/>
      <c r="G106" s="10"/>
      <c r="H106" s="10"/>
      <c r="I106" s="10"/>
      <c r="J106" s="37"/>
    </row>
    <row r="107">
      <c r="A107" s="1"/>
      <c r="B107" s="21"/>
      <c r="C107" s="33"/>
      <c r="D107" s="33"/>
      <c r="E107" s="10"/>
      <c r="F107" s="10"/>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38"/>
      <c r="B113" s="39"/>
      <c r="C113" s="33"/>
      <c r="D113" s="33"/>
      <c r="E113" s="34"/>
      <c r="F113" s="34"/>
      <c r="G113" s="34"/>
      <c r="H113" s="34"/>
      <c r="I113" s="34"/>
      <c r="J113" s="40"/>
    </row>
    <row r="114">
      <c r="A114" s="38"/>
      <c r="B114" s="39"/>
      <c r="C114" s="33"/>
      <c r="D114" s="33"/>
      <c r="E114" s="34"/>
      <c r="F114" s="34"/>
      <c r="G114" s="34"/>
      <c r="H114" s="34"/>
      <c r="I114" s="34"/>
      <c r="J114" s="40"/>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1"/>
      <c r="B117" s="21"/>
      <c r="C117" s="33"/>
      <c r="D117" s="33"/>
      <c r="E117" s="10"/>
      <c r="F117" s="10"/>
      <c r="G117" s="10"/>
      <c r="H117" s="10"/>
      <c r="I117" s="10"/>
      <c r="J117" s="37"/>
    </row>
    <row r="118">
      <c r="A118" s="1"/>
      <c r="B118" s="21"/>
      <c r="C118" s="33"/>
      <c r="D118" s="33"/>
      <c r="E118" s="10"/>
      <c r="F118" s="10"/>
      <c r="G118" s="10"/>
      <c r="H118" s="10"/>
      <c r="I118" s="10"/>
      <c r="J118" s="37"/>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1"/>
      <c r="B122" s="21"/>
      <c r="C122" s="33"/>
      <c r="D122" s="33"/>
      <c r="E122" s="10"/>
      <c r="F122" s="10"/>
      <c r="G122" s="10"/>
      <c r="H122" s="10"/>
      <c r="I122" s="10"/>
      <c r="J122" s="37"/>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1"/>
      <c r="B126" s="21"/>
      <c r="C126" s="33"/>
      <c r="D126" s="33"/>
      <c r="E126" s="10"/>
      <c r="F126" s="10"/>
      <c r="G126" s="10"/>
      <c r="H126" s="10"/>
      <c r="I126" s="10"/>
      <c r="J126" s="37"/>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1"/>
      <c r="B130" s="21"/>
      <c r="C130" s="33"/>
      <c r="D130" s="33"/>
      <c r="E130" s="10"/>
      <c r="F130" s="10"/>
      <c r="G130" s="10"/>
      <c r="H130" s="10"/>
      <c r="I130" s="10"/>
      <c r="J130" s="37"/>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1"/>
      <c r="B134" s="21"/>
      <c r="C134" s="33"/>
      <c r="D134" s="33"/>
      <c r="E134" s="10"/>
      <c r="F134" s="10"/>
      <c r="G134" s="10"/>
      <c r="H134" s="10"/>
      <c r="I134" s="10"/>
      <c r="J134" s="37"/>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1"/>
      <c r="B138" s="21"/>
      <c r="C138" s="33"/>
      <c r="D138" s="33"/>
      <c r="E138" s="10"/>
      <c r="F138" s="10"/>
      <c r="G138" s="10"/>
      <c r="H138" s="10"/>
      <c r="I138" s="10"/>
      <c r="J138" s="37"/>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38"/>
      <c r="B146" s="39"/>
      <c r="C146" s="33"/>
      <c r="D146" s="33"/>
      <c r="E146" s="34"/>
      <c r="F146" s="34"/>
      <c r="G146" s="34"/>
      <c r="H146" s="34"/>
      <c r="I146" s="34"/>
      <c r="J146" s="40"/>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38"/>
      <c r="B150" s="39"/>
      <c r="C150" s="33"/>
      <c r="D150" s="33"/>
      <c r="E150" s="34"/>
      <c r="F150" s="34"/>
      <c r="G150" s="34"/>
      <c r="H150" s="34"/>
      <c r="I150" s="34"/>
      <c r="J150" s="40"/>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1"/>
      <c r="B154" s="21"/>
      <c r="C154" s="33"/>
      <c r="D154" s="33"/>
      <c r="E154" s="10"/>
      <c r="F154" s="10"/>
      <c r="G154" s="10"/>
      <c r="H154" s="10"/>
      <c r="I154" s="10"/>
      <c r="J154" s="37"/>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38"/>
      <c r="B158" s="39"/>
      <c r="C158" s="33"/>
      <c r="D158" s="33"/>
      <c r="E158" s="34"/>
      <c r="F158" s="34"/>
      <c r="G158" s="34"/>
      <c r="H158" s="34"/>
      <c r="I158" s="34"/>
      <c r="J158" s="40"/>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1"/>
      <c r="B162" s="21"/>
      <c r="C162" s="33"/>
      <c r="D162" s="33"/>
      <c r="E162" s="10"/>
      <c r="F162" s="10"/>
      <c r="G162" s="10"/>
      <c r="H162" s="10"/>
      <c r="I162" s="10"/>
      <c r="J162" s="37"/>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10"/>
      <c r="J185" s="37"/>
    </row>
    <row r="186">
      <c r="A186" s="1"/>
      <c r="B186" s="21"/>
      <c r="C186" s="33"/>
      <c r="D186" s="33"/>
      <c r="E186" s="10"/>
      <c r="F186" s="10"/>
      <c r="G186" s="10"/>
      <c r="H186" s="10"/>
      <c r="I186" s="10"/>
      <c r="J186" s="37"/>
    </row>
    <row r="187">
      <c r="A187" s="1"/>
      <c r="B187" s="21"/>
      <c r="C187" s="33"/>
      <c r="D187" s="33"/>
      <c r="E187" s="10"/>
      <c r="F187" s="10"/>
      <c r="G187" s="10"/>
      <c r="H187" s="10"/>
      <c r="I187" s="10"/>
      <c r="J187" s="37"/>
    </row>
    <row r="188">
      <c r="A188" s="1"/>
      <c r="B188" s="21"/>
      <c r="C188" s="33"/>
      <c r="D188" s="33"/>
      <c r="E188" s="10"/>
      <c r="F188" s="10"/>
      <c r="G188" s="10"/>
      <c r="H188" s="10"/>
      <c r="I188" s="10"/>
      <c r="J188" s="37"/>
    </row>
    <row r="189">
      <c r="A189" s="1"/>
      <c r="B189" s="21"/>
      <c r="C189" s="33"/>
      <c r="D189" s="33"/>
      <c r="E189" s="10"/>
      <c r="F189" s="10"/>
      <c r="G189" s="10"/>
      <c r="H189" s="10"/>
      <c r="I189" s="10"/>
      <c r="J189" s="37"/>
    </row>
    <row r="190">
      <c r="A190" s="1"/>
      <c r="B190" s="21"/>
      <c r="C190" s="33"/>
      <c r="D190" s="33"/>
      <c r="E190" s="10"/>
      <c r="F190" s="10"/>
      <c r="G190" s="10"/>
      <c r="H190" s="10"/>
      <c r="I190" s="10"/>
      <c r="J190" s="37"/>
    </row>
    <row r="191">
      <c r="A191" s="1"/>
      <c r="B191" s="21"/>
      <c r="C191" s="33"/>
      <c r="D191" s="33"/>
      <c r="E191" s="10"/>
      <c r="F191" s="10"/>
      <c r="G191" s="10"/>
      <c r="H191" s="10"/>
      <c r="I191" s="10"/>
      <c r="J191" s="37"/>
    </row>
    <row r="192">
      <c r="A192" s="1"/>
      <c r="B192" s="21"/>
      <c r="C192" s="33"/>
      <c r="D192" s="33"/>
      <c r="E192" s="10"/>
      <c r="F192" s="10"/>
      <c r="G192" s="10"/>
      <c r="H192" s="10"/>
      <c r="I192" s="10"/>
      <c r="J192" s="37"/>
    </row>
    <row r="193">
      <c r="A193" s="1"/>
      <c r="B193" s="21"/>
      <c r="C193" s="33"/>
      <c r="D193" s="33"/>
      <c r="E193" s="10"/>
      <c r="F193" s="10"/>
      <c r="G193" s="10"/>
      <c r="H193" s="10"/>
      <c r="I193" s="10"/>
      <c r="J193" s="37"/>
    </row>
    <row r="194">
      <c r="A194" s="1"/>
      <c r="B194" s="21"/>
      <c r="C194" s="33"/>
      <c r="D194" s="33"/>
      <c r="E194" s="10"/>
      <c r="F194" s="10"/>
      <c r="G194" s="10"/>
      <c r="H194" s="10"/>
      <c r="I194" s="10"/>
      <c r="J194" s="37"/>
    </row>
    <row r="195">
      <c r="A195" s="1"/>
      <c r="B195" s="21"/>
      <c r="C195" s="33"/>
      <c r="D195" s="33"/>
      <c r="E195" s="10"/>
      <c r="F195" s="10"/>
      <c r="G195" s="10"/>
      <c r="H195" s="10"/>
      <c r="I195" s="10"/>
      <c r="J195" s="37"/>
    </row>
    <row r="196">
      <c r="A196" s="1"/>
      <c r="B196" s="21"/>
      <c r="C196" s="33"/>
      <c r="D196" s="33"/>
      <c r="E196" s="10"/>
      <c r="F196" s="10"/>
      <c r="G196" s="10"/>
      <c r="H196" s="10"/>
      <c r="I196" s="10"/>
      <c r="J196" s="37"/>
    </row>
    <row r="197">
      <c r="A197" s="1"/>
      <c r="B197" s="21"/>
      <c r="C197" s="33"/>
      <c r="D197" s="33"/>
      <c r="E197" s="10"/>
      <c r="F197" s="10"/>
      <c r="G197" s="10"/>
      <c r="H197" s="10"/>
      <c r="I197" s="10"/>
      <c r="J197" s="37"/>
    </row>
    <row r="198">
      <c r="A198" s="1"/>
      <c r="B198" s="21"/>
      <c r="C198" s="33"/>
      <c r="D198" s="33"/>
      <c r="E198" s="10"/>
      <c r="F198" s="10"/>
      <c r="G198" s="10"/>
      <c r="H198" s="10"/>
      <c r="I198" s="10"/>
      <c r="J198" s="37"/>
    </row>
    <row r="199">
      <c r="A199" s="1"/>
      <c r="B199" s="21"/>
      <c r="C199" s="33"/>
      <c r="D199" s="33"/>
      <c r="E199" s="10"/>
      <c r="F199" s="10"/>
      <c r="G199" s="10"/>
      <c r="H199" s="10"/>
      <c r="I199" s="10"/>
      <c r="J199" s="37"/>
    </row>
    <row r="200">
      <c r="A200" s="1"/>
      <c r="B200" s="21"/>
      <c r="C200" s="33"/>
      <c r="D200" s="33"/>
      <c r="E200" s="10"/>
      <c r="F200" s="10"/>
      <c r="G200" s="10"/>
      <c r="H200" s="10"/>
      <c r="I200" s="10"/>
      <c r="J200" s="37"/>
    </row>
    <row r="201">
      <c r="A201" s="1"/>
      <c r="B201" s="21"/>
      <c r="C201" s="33"/>
      <c r="D201" s="33"/>
      <c r="E201" s="10"/>
      <c r="F201" s="10"/>
      <c r="G201" s="10"/>
      <c r="H201" s="10"/>
      <c r="I201" s="10"/>
      <c r="J201" s="37"/>
    </row>
    <row r="202">
      <c r="A202" s="1"/>
      <c r="B202" s="21"/>
      <c r="C202" s="33"/>
      <c r="D202" s="33"/>
      <c r="E202" s="10"/>
      <c r="F202" s="10"/>
      <c r="G202" s="10"/>
      <c r="H202" s="10"/>
      <c r="I202" s="10"/>
      <c r="J202" s="37"/>
    </row>
    <row r="203">
      <c r="A203" s="1"/>
      <c r="B203" s="21"/>
      <c r="C203" s="33"/>
      <c r="D203" s="33"/>
      <c r="E203" s="10"/>
      <c r="F203" s="10"/>
      <c r="G203" s="10"/>
      <c r="H203" s="10"/>
      <c r="I203" s="10"/>
      <c r="J203" s="37"/>
    </row>
    <row r="204">
      <c r="A204" s="1"/>
      <c r="B204" s="21"/>
      <c r="C204" s="33"/>
      <c r="D204" s="33"/>
      <c r="E204" s="10"/>
      <c r="F204" s="10"/>
      <c r="G204" s="10"/>
      <c r="H204" s="10"/>
      <c r="I204" s="10"/>
      <c r="J204" s="37"/>
    </row>
    <row r="205">
      <c r="A205" s="1"/>
      <c r="B205" s="21"/>
      <c r="C205" s="33"/>
      <c r="D205" s="33"/>
      <c r="E205" s="10"/>
      <c r="F205" s="10"/>
      <c r="G205" s="10"/>
      <c r="H205" s="10"/>
      <c r="I205" s="10"/>
      <c r="J205" s="37"/>
    </row>
    <row r="206">
      <c r="A206" s="1"/>
      <c r="B206" s="21"/>
      <c r="C206" s="33"/>
      <c r="D206" s="33"/>
      <c r="E206" s="10"/>
      <c r="F206" s="10"/>
      <c r="G206" s="10"/>
      <c r="H206" s="10"/>
      <c r="I206" s="10"/>
      <c r="J206" s="37"/>
    </row>
    <row r="207">
      <c r="A207" s="1"/>
      <c r="B207" s="21"/>
      <c r="C207" s="33"/>
      <c r="D207" s="33"/>
      <c r="E207" s="10"/>
      <c r="F207" s="10"/>
      <c r="G207" s="10"/>
      <c r="H207" s="10"/>
      <c r="I207" s="10"/>
      <c r="J207" s="37"/>
    </row>
    <row r="208">
      <c r="A208" s="1"/>
      <c r="B208" s="21"/>
      <c r="C208" s="33"/>
      <c r="D208" s="33"/>
      <c r="E208" s="10"/>
      <c r="F208" s="10"/>
      <c r="G208" s="10"/>
      <c r="H208" s="10"/>
      <c r="I208" s="10"/>
      <c r="J208" s="37"/>
    </row>
    <row r="209">
      <c r="A209" s="1"/>
      <c r="B209" s="21"/>
      <c r="C209" s="33"/>
      <c r="D209" s="33"/>
      <c r="E209" s="10"/>
      <c r="F209" s="10"/>
      <c r="G209" s="10"/>
      <c r="H209" s="10"/>
      <c r="I209" s="10"/>
      <c r="J209" s="37"/>
    </row>
    <row r="210">
      <c r="A210" s="1"/>
      <c r="B210" s="21"/>
      <c r="C210" s="33"/>
      <c r="D210" s="33"/>
      <c r="E210" s="10"/>
      <c r="F210" s="10"/>
      <c r="G210" s="10"/>
      <c r="H210" s="10"/>
      <c r="I210" s="10"/>
      <c r="J210" s="37"/>
    </row>
    <row r="211">
      <c r="A211" s="1"/>
      <c r="B211" s="21"/>
      <c r="C211" s="33"/>
      <c r="D211" s="33"/>
      <c r="E211" s="10"/>
      <c r="F211" s="10"/>
      <c r="G211" s="10"/>
      <c r="H211" s="10"/>
      <c r="I211" s="10"/>
      <c r="J211" s="37"/>
    </row>
    <row r="212">
      <c r="A212" s="1"/>
      <c r="B212" s="21"/>
      <c r="C212" s="33"/>
      <c r="D212" s="33"/>
      <c r="E212" s="10"/>
      <c r="F212" s="10"/>
      <c r="G212" s="10"/>
      <c r="H212" s="10"/>
      <c r="I212" s="10"/>
      <c r="J212" s="37"/>
    </row>
    <row r="213">
      <c r="A213" s="1"/>
      <c r="B213" s="21"/>
      <c r="C213" s="33"/>
      <c r="D213" s="33"/>
      <c r="E213" s="10"/>
      <c r="F213" s="10"/>
      <c r="G213" s="10"/>
      <c r="H213" s="10"/>
      <c r="I213" s="37"/>
      <c r="J213" s="37"/>
    </row>
    <row r="214">
      <c r="A214" s="1"/>
      <c r="B214" s="21"/>
      <c r="C214" s="33"/>
      <c r="D214" s="33"/>
      <c r="E214" s="10"/>
      <c r="F214" s="10"/>
      <c r="G214" s="10"/>
      <c r="H214" s="10"/>
      <c r="I214" s="37"/>
      <c r="J214" s="37"/>
    </row>
    <row r="215">
      <c r="A215" s="1"/>
      <c r="B215" s="21"/>
      <c r="C215" s="33"/>
      <c r="D215" s="33"/>
      <c r="E215" s="10"/>
      <c r="F215" s="10"/>
      <c r="G215" s="10"/>
      <c r="H215" s="10"/>
      <c r="I215" s="37"/>
      <c r="J215" s="37"/>
    </row>
  </sheetData>
  <mergeCells count="8">
    <mergeCell ref="C25:C26"/>
    <mergeCell ref="C27:C31"/>
    <mergeCell ref="C32:C36"/>
    <mergeCell ref="C37:C38"/>
    <mergeCell ref="C39:C43"/>
    <mergeCell ref="C44:C48"/>
    <mergeCell ref="C49:C52"/>
    <mergeCell ref="E98:E100"/>
  </mergeCells>
  <dataValidations>
    <dataValidation type="list" allowBlank="1" sqref="H213:H215">
      <formula1>#REF!</formula1>
    </dataValidation>
    <dataValidation type="list" allowBlank="1" showErrorMessage="1" sqref="I24:I215">
      <formula1>"正常系,異常系"</formula1>
    </dataValidation>
    <dataValidation type="list" allowBlank="1" sqref="H24:H212">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215">
      <formula1>"低,中,高"</formula1>
    </dataValidation>
  </dataValidations>
  <hyperlinks>
    <hyperlink r:id="rId1" ref="B22"/>
    <hyperlink r:id="rId2" ref="F2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132</v>
      </c>
    </row>
    <row r="2">
      <c r="A2" s="41" t="s">
        <v>133</v>
      </c>
    </row>
    <row r="3">
      <c r="A3" s="41" t="s">
        <v>134</v>
      </c>
    </row>
    <row r="4">
      <c r="A4" s="41" t="s">
        <v>135</v>
      </c>
    </row>
    <row r="5">
      <c r="A5" s="41" t="s">
        <v>136</v>
      </c>
    </row>
    <row r="6">
      <c r="A6" s="41" t="s">
        <v>137</v>
      </c>
    </row>
    <row r="7">
      <c r="A7" s="41" t="s">
        <v>138</v>
      </c>
    </row>
    <row r="8">
      <c r="A8" s="41" t="s">
        <v>139</v>
      </c>
    </row>
    <row r="9">
      <c r="A9" s="41" t="s">
        <v>140</v>
      </c>
    </row>
    <row r="10">
      <c r="A10" s="41" t="s">
        <v>141</v>
      </c>
    </row>
    <row r="11">
      <c r="A11" s="41" t="s">
        <v>142</v>
      </c>
    </row>
    <row r="12">
      <c r="A12" s="41" t="s">
        <v>143</v>
      </c>
    </row>
    <row r="13">
      <c r="A13" s="41" t="s">
        <v>144</v>
      </c>
    </row>
    <row r="15">
      <c r="A15" s="41" t="s">
        <v>145</v>
      </c>
    </row>
    <row r="16">
      <c r="A16" s="41" t="s">
        <v>146</v>
      </c>
    </row>
    <row r="18">
      <c r="A18" s="41" t="s">
        <v>147</v>
      </c>
    </row>
    <row r="19">
      <c r="A19" s="41" t="s">
        <v>38</v>
      </c>
      <c r="B19" s="41" t="s">
        <v>39</v>
      </c>
      <c r="C19" s="41" t="s">
        <v>40</v>
      </c>
      <c r="D19" s="41" t="s">
        <v>41</v>
      </c>
      <c r="E19" s="41" t="s">
        <v>42</v>
      </c>
    </row>
    <row r="26">
      <c r="A26" s="42" t="s">
        <v>148</v>
      </c>
    </row>
    <row r="27">
      <c r="A27" s="41" t="s">
        <v>149</v>
      </c>
    </row>
    <row r="28">
      <c r="A28" s="43" t="s">
        <v>150</v>
      </c>
    </row>
    <row r="29">
      <c r="A29" s="41" t="s">
        <v>151</v>
      </c>
    </row>
    <row r="30">
      <c r="A30" s="41" t="s">
        <v>152</v>
      </c>
    </row>
    <row r="31">
      <c r="A31" s="41" t="s">
        <v>153</v>
      </c>
    </row>
    <row r="32">
      <c r="A32" s="41" t="s">
        <v>154</v>
      </c>
    </row>
    <row r="33">
      <c r="A33" s="41" t="s">
        <v>139</v>
      </c>
    </row>
    <row r="34">
      <c r="A34" s="41" t="s">
        <v>155</v>
      </c>
    </row>
    <row r="35">
      <c r="A35" s="41" t="s">
        <v>156</v>
      </c>
    </row>
    <row r="36">
      <c r="A36" s="41" t="s">
        <v>157</v>
      </c>
    </row>
    <row r="37">
      <c r="A37" s="42" t="s">
        <v>158</v>
      </c>
    </row>
    <row r="38">
      <c r="A38" s="44" t="s">
        <v>159</v>
      </c>
    </row>
    <row r="42">
      <c r="A42" s="42" t="s">
        <v>160</v>
      </c>
    </row>
    <row r="43">
      <c r="A43" s="41" t="s">
        <v>149</v>
      </c>
    </row>
    <row r="44">
      <c r="A44" s="43" t="s">
        <v>161</v>
      </c>
    </row>
    <row r="45">
      <c r="A45" s="43" t="s">
        <v>162</v>
      </c>
    </row>
    <row r="46">
      <c r="A46" s="43" t="s">
        <v>163</v>
      </c>
    </row>
    <row r="47">
      <c r="A47" s="43" t="s">
        <v>164</v>
      </c>
    </row>
    <row r="48">
      <c r="A48" s="43" t="s">
        <v>165</v>
      </c>
    </row>
    <row r="53">
      <c r="A53" s="42" t="s">
        <v>166</v>
      </c>
    </row>
    <row r="54">
      <c r="A54" s="41" t="s">
        <v>149</v>
      </c>
    </row>
    <row r="55">
      <c r="A55" s="43" t="s">
        <v>150</v>
      </c>
    </row>
    <row r="56">
      <c r="A56" s="41" t="s">
        <v>151</v>
      </c>
    </row>
    <row r="57">
      <c r="A57" s="41" t="s">
        <v>152</v>
      </c>
    </row>
    <row r="58">
      <c r="A58" s="41" t="s">
        <v>153</v>
      </c>
    </row>
    <row r="59">
      <c r="A59" s="41" t="s">
        <v>154</v>
      </c>
    </row>
    <row r="60">
      <c r="A60" s="41" t="s">
        <v>139</v>
      </c>
    </row>
    <row r="61">
      <c r="A61" s="41" t="s">
        <v>155</v>
      </c>
    </row>
    <row r="62">
      <c r="A62" s="41" t="s">
        <v>156</v>
      </c>
    </row>
    <row r="63">
      <c r="A63" s="41" t="s">
        <v>157</v>
      </c>
    </row>
    <row r="64">
      <c r="A64" s="42" t="s">
        <v>167</v>
      </c>
    </row>
    <row r="65">
      <c r="A65" s="44" t="s">
        <v>159</v>
      </c>
    </row>
    <row r="69">
      <c r="A69" s="42" t="s">
        <v>168</v>
      </c>
    </row>
    <row r="70">
      <c r="A70" s="41" t="s">
        <v>149</v>
      </c>
    </row>
    <row r="71">
      <c r="A71" s="43" t="s">
        <v>169</v>
      </c>
    </row>
    <row r="72">
      <c r="A72" s="43" t="s">
        <v>170</v>
      </c>
    </row>
    <row r="73">
      <c r="A73" s="43" t="s">
        <v>171</v>
      </c>
    </row>
    <row r="74">
      <c r="A74" s="43" t="s">
        <v>172</v>
      </c>
    </row>
    <row r="75">
      <c r="A75" s="41" t="s">
        <v>173</v>
      </c>
    </row>
    <row r="76">
      <c r="A76" s="41" t="s">
        <v>174</v>
      </c>
    </row>
    <row r="77">
      <c r="A77" s="41" t="s">
        <v>175</v>
      </c>
    </row>
    <row r="78">
      <c r="A78" s="42" t="s">
        <v>176</v>
      </c>
    </row>
    <row r="79">
      <c r="A79" s="42" t="s">
        <v>177</v>
      </c>
    </row>
    <row r="80">
      <c r="A80" s="42" t="s">
        <v>178</v>
      </c>
    </row>
    <row r="85">
      <c r="A85" s="42" t="s">
        <v>179</v>
      </c>
    </row>
    <row r="86">
      <c r="A86" s="41" t="s">
        <v>149</v>
      </c>
    </row>
    <row r="87">
      <c r="A87" s="43" t="s">
        <v>180</v>
      </c>
    </row>
    <row r="88">
      <c r="A88" s="43" t="s">
        <v>181</v>
      </c>
    </row>
    <row r="89">
      <c r="A89" s="43" t="s">
        <v>182</v>
      </c>
    </row>
    <row r="90">
      <c r="A90" s="43" t="s">
        <v>183</v>
      </c>
    </row>
    <row r="91">
      <c r="A91" s="45" t="s">
        <v>184</v>
      </c>
    </row>
    <row r="92">
      <c r="A92" s="42" t="s">
        <v>185</v>
      </c>
    </row>
    <row r="96">
      <c r="A96" s="42" t="s">
        <v>186</v>
      </c>
    </row>
    <row r="97">
      <c r="A97" s="41" t="s">
        <v>149</v>
      </c>
    </row>
    <row r="98">
      <c r="A98" s="43" t="s">
        <v>187</v>
      </c>
    </row>
    <row r="99">
      <c r="A99" s="43" t="s">
        <v>170</v>
      </c>
    </row>
    <row r="100">
      <c r="A100" s="43" t="s">
        <v>171</v>
      </c>
    </row>
    <row r="101">
      <c r="A101" s="43" t="s">
        <v>172</v>
      </c>
    </row>
    <row r="102">
      <c r="A102" s="43" t="s">
        <v>188</v>
      </c>
    </row>
    <row r="103">
      <c r="A103" s="43" t="s">
        <v>189</v>
      </c>
    </row>
    <row r="104">
      <c r="A104" s="42" t="s">
        <v>190</v>
      </c>
    </row>
    <row r="105">
      <c r="A105" s="42" t="s">
        <v>191</v>
      </c>
    </row>
    <row r="106">
      <c r="A106" s="43" t="s">
        <v>192</v>
      </c>
    </row>
  </sheetData>
  <hyperlinks>
    <hyperlink r:id="rId1" ref="A26"/>
    <hyperlink r:id="rId2" ref="A37"/>
    <hyperlink r:id="rId3" ref="A42"/>
    <hyperlink r:id="rId4" ref="A53"/>
    <hyperlink r:id="rId5" ref="A64"/>
    <hyperlink r:id="rId6" ref="A69"/>
    <hyperlink r:id="rId7" ref="A78"/>
    <hyperlink r:id="rId8" ref="A79"/>
    <hyperlink r:id="rId9" ref="A80"/>
    <hyperlink r:id="rId10" ref="A85"/>
    <hyperlink r:id="rId11" ref="A91"/>
    <hyperlink r:id="rId12" ref="A92"/>
    <hyperlink r:id="rId13" ref="A96"/>
    <hyperlink r:id="rId14" ref="A104"/>
    <hyperlink r:id="rId15" ref="A105"/>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7.63"/>
    <col customWidth="1" min="5" max="5" width="20.75"/>
    <col customWidth="1" min="6" max="6" width="27.25"/>
    <col customWidth="1" min="7" max="7" width="39.0"/>
    <col customWidth="1" min="8" max="8" width="17.88"/>
    <col customWidth="1" min="9" max="9" width="11.5"/>
  </cols>
  <sheetData>
    <row r="1">
      <c r="A1" s="1"/>
      <c r="B1" s="1"/>
      <c r="C1" s="1"/>
      <c r="D1" s="1"/>
      <c r="E1" s="1"/>
      <c r="F1" s="1"/>
      <c r="G1" s="1"/>
      <c r="H1" s="2" t="s">
        <v>0</v>
      </c>
      <c r="I1" s="3">
        <f>COUNTIF(G24:G239,"*")</f>
        <v>45</v>
      </c>
      <c r="J1" s="1"/>
    </row>
    <row r="2">
      <c r="A2" s="1"/>
      <c r="B2" s="4" t="s">
        <v>1</v>
      </c>
      <c r="C2" s="5" t="s">
        <v>193</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COUNTIF($I$24:$I$239,$C6)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COUNTIF($H$24:$H$239,$C10)</f>
        <v>0</v>
      </c>
      <c r="E10" s="12"/>
      <c r="F10" s="1"/>
      <c r="G10" s="1"/>
      <c r="H10" s="1"/>
      <c r="I10" s="1"/>
      <c r="J10" s="1"/>
    </row>
    <row r="11">
      <c r="A11" s="1"/>
      <c r="B11" s="3">
        <v>2.0</v>
      </c>
      <c r="C11" s="10" t="s">
        <v>27</v>
      </c>
      <c r="D11" s="11">
        <f t="shared" si="2"/>
        <v>0</v>
      </c>
      <c r="E11" s="12"/>
      <c r="F11" s="1"/>
      <c r="G11" s="1"/>
      <c r="H11" s="1"/>
      <c r="I11" s="1"/>
      <c r="J11" s="1"/>
    </row>
    <row r="12">
      <c r="A12" s="1"/>
      <c r="B12" s="3">
        <v>3.0</v>
      </c>
      <c r="C12" s="10" t="s">
        <v>28</v>
      </c>
      <c r="D12" s="14">
        <f t="shared" si="2"/>
        <v>0</v>
      </c>
      <c r="E12" s="10" t="s">
        <v>29</v>
      </c>
      <c r="F12" s="44"/>
      <c r="G12" s="1"/>
      <c r="H12" s="1"/>
      <c r="I12" s="1"/>
      <c r="J12" s="1"/>
    </row>
    <row r="13">
      <c r="A13" s="1"/>
      <c r="B13" s="3">
        <v>4.0</v>
      </c>
      <c r="C13" s="10" t="s">
        <v>30</v>
      </c>
      <c r="D13" s="11">
        <f t="shared" si="2"/>
        <v>0</v>
      </c>
      <c r="E13" s="12"/>
      <c r="G13" s="1"/>
      <c r="H13" s="1"/>
      <c r="I13" s="1"/>
      <c r="J13" s="1"/>
    </row>
    <row r="14">
      <c r="A14" s="1"/>
      <c r="B14" s="3">
        <v>5.0</v>
      </c>
      <c r="C14" s="10" t="s">
        <v>31</v>
      </c>
      <c r="D14" s="14">
        <f t="shared" si="2"/>
        <v>0</v>
      </c>
      <c r="E14" s="10" t="s">
        <v>29</v>
      </c>
      <c r="F14" s="43"/>
      <c r="G14" s="1"/>
      <c r="H14" s="1"/>
      <c r="I14" s="1"/>
      <c r="J14" s="1"/>
    </row>
    <row r="15">
      <c r="A15" s="1"/>
      <c r="B15" s="3">
        <v>6.0</v>
      </c>
      <c r="C15" s="10" t="s">
        <v>32</v>
      </c>
      <c r="D15" s="14">
        <f t="shared" si="2"/>
        <v>0</v>
      </c>
      <c r="E15" s="10" t="s">
        <v>29</v>
      </c>
      <c r="F15" s="43"/>
      <c r="G15" s="1"/>
      <c r="H15" s="1"/>
      <c r="I15" s="1"/>
      <c r="J15" s="1"/>
    </row>
    <row r="16">
      <c r="A16" s="1"/>
      <c r="B16" s="3">
        <v>7.0</v>
      </c>
      <c r="C16" s="10" t="s">
        <v>33</v>
      </c>
      <c r="D16" s="11">
        <f t="shared" si="2"/>
        <v>0</v>
      </c>
      <c r="E16" s="12"/>
      <c r="F16" s="43"/>
      <c r="G16" s="1"/>
      <c r="H16" s="1"/>
      <c r="I16" s="1"/>
      <c r="J16" s="1"/>
    </row>
    <row r="17">
      <c r="A17" s="1"/>
      <c r="B17" s="3">
        <v>8.0</v>
      </c>
      <c r="C17" s="10" t="s">
        <v>34</v>
      </c>
      <c r="D17" s="11">
        <f t="shared" si="2"/>
        <v>0</v>
      </c>
      <c r="E17" s="12"/>
      <c r="F17" s="43"/>
      <c r="G17" s="1"/>
      <c r="H17" s="1"/>
      <c r="I17" s="1"/>
      <c r="J17" s="1"/>
    </row>
    <row r="18">
      <c r="A18" s="1"/>
      <c r="B18" s="3">
        <v>9.0</v>
      </c>
      <c r="C18" s="10" t="s">
        <v>35</v>
      </c>
      <c r="D18" s="11">
        <f t="shared" si="2"/>
        <v>0</v>
      </c>
      <c r="E18" s="12"/>
      <c r="F18" s="43"/>
      <c r="G18" s="1"/>
      <c r="H18" s="1"/>
      <c r="I18" s="1"/>
      <c r="J18" s="1"/>
    </row>
    <row r="19">
      <c r="A19" s="1"/>
      <c r="B19" s="1"/>
      <c r="C19" s="1"/>
      <c r="D19" s="1"/>
      <c r="E19" s="1"/>
      <c r="F19" s="43"/>
      <c r="G19" s="1"/>
      <c r="H19" s="1"/>
      <c r="I19" s="1"/>
      <c r="J19" s="15"/>
    </row>
    <row r="20">
      <c r="A20" s="1"/>
      <c r="B20" s="1"/>
      <c r="C20" s="1"/>
      <c r="D20" s="1"/>
      <c r="E20" s="1"/>
      <c r="F20" s="1"/>
      <c r="G20" s="1"/>
      <c r="H20" s="1"/>
      <c r="I20" s="1"/>
      <c r="J20" s="1"/>
    </row>
    <row r="21">
      <c r="A21" s="1"/>
      <c r="B21" s="1"/>
      <c r="C21" s="1"/>
      <c r="D21" s="1"/>
      <c r="E21" s="1"/>
      <c r="F21" s="1"/>
      <c r="G21" s="1"/>
      <c r="H21" s="1"/>
      <c r="I21" s="1"/>
      <c r="J21" s="1"/>
    </row>
    <row r="22">
      <c r="A22" s="1"/>
      <c r="B22" s="42" t="s">
        <v>194</v>
      </c>
      <c r="C22" s="17"/>
      <c r="D22" s="17"/>
      <c r="E22" s="17"/>
      <c r="F22" s="17"/>
      <c r="G22" s="17"/>
      <c r="H22" s="17"/>
      <c r="I22" s="17"/>
      <c r="J22" s="17"/>
    </row>
    <row r="23">
      <c r="A23" s="1"/>
      <c r="B23" s="18" t="s">
        <v>37</v>
      </c>
      <c r="C23" s="20" t="s">
        <v>38</v>
      </c>
      <c r="D23" s="20" t="s">
        <v>39</v>
      </c>
      <c r="E23" s="20" t="s">
        <v>40</v>
      </c>
      <c r="F23" s="20" t="s">
        <v>41</v>
      </c>
      <c r="G23" s="20" t="s">
        <v>42</v>
      </c>
      <c r="H23" s="20" t="s">
        <v>43</v>
      </c>
      <c r="I23" s="20" t="s">
        <v>12</v>
      </c>
      <c r="J23" s="20" t="s">
        <v>44</v>
      </c>
    </row>
    <row r="24">
      <c r="A24" s="1"/>
      <c r="B24" s="21" t="str">
        <f t="shared" ref="B24:B68" si="3">$C$2 &amp; "-" &amp; ROW()-23</f>
        <v>All Item-1</v>
      </c>
      <c r="C24" s="21" t="s">
        <v>195</v>
      </c>
      <c r="D24" s="21" t="s">
        <v>196</v>
      </c>
      <c r="E24" s="21" t="s">
        <v>197</v>
      </c>
      <c r="F24" s="21" t="s">
        <v>198</v>
      </c>
      <c r="G24" s="46" t="s">
        <v>199</v>
      </c>
      <c r="H24" s="24"/>
      <c r="I24" s="10"/>
      <c r="J24" s="10"/>
    </row>
    <row r="25">
      <c r="A25" s="1"/>
      <c r="B25" s="21" t="str">
        <f t="shared" si="3"/>
        <v>All Item-2</v>
      </c>
      <c r="C25" s="47" t="s">
        <v>200</v>
      </c>
      <c r="D25" s="21" t="s">
        <v>201</v>
      </c>
      <c r="E25" s="21" t="s">
        <v>202</v>
      </c>
      <c r="F25" s="21" t="s">
        <v>203</v>
      </c>
      <c r="G25" s="21" t="s">
        <v>204</v>
      </c>
      <c r="H25" s="24"/>
      <c r="I25" s="10"/>
      <c r="J25" s="10"/>
    </row>
    <row r="26">
      <c r="A26" s="1"/>
      <c r="B26" s="21" t="str">
        <f t="shared" si="3"/>
        <v>All Item-3</v>
      </c>
      <c r="C26" s="48"/>
      <c r="D26" s="21" t="s">
        <v>205</v>
      </c>
      <c r="E26" s="21" t="s">
        <v>202</v>
      </c>
      <c r="F26" s="21" t="s">
        <v>206</v>
      </c>
      <c r="G26" s="21" t="s">
        <v>57</v>
      </c>
      <c r="H26" s="24"/>
      <c r="I26" s="10"/>
      <c r="J26" s="10"/>
    </row>
    <row r="27">
      <c r="A27" s="1"/>
      <c r="B27" s="21" t="str">
        <f t="shared" si="3"/>
        <v>All Item-4</v>
      </c>
      <c r="C27" s="47" t="s">
        <v>207</v>
      </c>
      <c r="D27" s="21" t="s">
        <v>208</v>
      </c>
      <c r="E27" s="21" t="s">
        <v>202</v>
      </c>
      <c r="F27" s="21" t="s">
        <v>209</v>
      </c>
      <c r="G27" s="21" t="s">
        <v>210</v>
      </c>
      <c r="H27" s="24"/>
      <c r="I27" s="10"/>
      <c r="J27" s="10"/>
    </row>
    <row r="28">
      <c r="A28" s="1"/>
      <c r="B28" s="21" t="str">
        <f t="shared" si="3"/>
        <v>All Item-5</v>
      </c>
      <c r="C28" s="49"/>
      <c r="D28" s="21" t="s">
        <v>211</v>
      </c>
      <c r="E28" s="21" t="s">
        <v>202</v>
      </c>
      <c r="F28" s="21" t="s">
        <v>212</v>
      </c>
      <c r="G28" s="21" t="s">
        <v>213</v>
      </c>
      <c r="H28" s="24"/>
      <c r="I28" s="10"/>
      <c r="J28" s="10"/>
    </row>
    <row r="29">
      <c r="A29" s="1"/>
      <c r="B29" s="21" t="str">
        <f t="shared" si="3"/>
        <v>All Item-6</v>
      </c>
      <c r="C29" s="49"/>
      <c r="D29" s="21" t="s">
        <v>214</v>
      </c>
      <c r="E29" s="21" t="s">
        <v>215</v>
      </c>
      <c r="F29" s="21" t="s">
        <v>216</v>
      </c>
      <c r="G29" s="21" t="s">
        <v>217</v>
      </c>
      <c r="H29" s="24"/>
      <c r="I29" s="10"/>
      <c r="J29" s="10"/>
    </row>
    <row r="30">
      <c r="A30" s="1"/>
      <c r="B30" s="21" t="str">
        <f t="shared" si="3"/>
        <v>All Item-7</v>
      </c>
      <c r="C30" s="49"/>
      <c r="D30" s="21" t="s">
        <v>218</v>
      </c>
      <c r="E30" s="21" t="s">
        <v>215</v>
      </c>
      <c r="F30" s="50" t="s">
        <v>219</v>
      </c>
      <c r="G30" s="46" t="s">
        <v>220</v>
      </c>
      <c r="H30" s="24"/>
      <c r="I30" s="10"/>
      <c r="J30" s="10"/>
    </row>
    <row r="31">
      <c r="A31" s="1"/>
      <c r="B31" s="21" t="str">
        <f t="shared" si="3"/>
        <v>All Item-8</v>
      </c>
      <c r="C31" s="48"/>
      <c r="D31" s="21" t="s">
        <v>221</v>
      </c>
      <c r="E31" s="21" t="s">
        <v>215</v>
      </c>
      <c r="F31" s="21" t="s">
        <v>222</v>
      </c>
      <c r="G31" s="21" t="s">
        <v>223</v>
      </c>
      <c r="H31" s="24"/>
      <c r="I31" s="10"/>
      <c r="J31" s="10"/>
    </row>
    <row r="32">
      <c r="A32" s="1"/>
      <c r="B32" s="21" t="str">
        <f t="shared" si="3"/>
        <v>All Item-9</v>
      </c>
      <c r="C32" s="47" t="s">
        <v>224</v>
      </c>
      <c r="D32" s="21" t="s">
        <v>225</v>
      </c>
      <c r="E32" s="21" t="s">
        <v>202</v>
      </c>
      <c r="F32" s="21" t="s">
        <v>226</v>
      </c>
      <c r="G32" s="21" t="s">
        <v>227</v>
      </c>
      <c r="H32" s="24"/>
      <c r="I32" s="10"/>
      <c r="J32" s="10"/>
    </row>
    <row r="33">
      <c r="A33" s="1"/>
      <c r="B33" s="21" t="str">
        <f t="shared" si="3"/>
        <v>All Item-10</v>
      </c>
      <c r="C33" s="48"/>
      <c r="D33" s="21" t="s">
        <v>228</v>
      </c>
      <c r="E33" s="21" t="s">
        <v>202</v>
      </c>
      <c r="F33" s="21" t="s">
        <v>229</v>
      </c>
      <c r="G33" s="21" t="s">
        <v>230</v>
      </c>
      <c r="H33" s="24"/>
      <c r="I33" s="10"/>
      <c r="J33" s="10"/>
    </row>
    <row r="34">
      <c r="A34" s="1"/>
      <c r="B34" s="21" t="str">
        <f t="shared" si="3"/>
        <v>All Item-11</v>
      </c>
      <c r="C34" s="47" t="s">
        <v>231</v>
      </c>
      <c r="D34" s="21" t="s">
        <v>232</v>
      </c>
      <c r="E34" s="21" t="s">
        <v>202</v>
      </c>
      <c r="F34" s="21" t="s">
        <v>233</v>
      </c>
      <c r="G34" s="21" t="s">
        <v>234</v>
      </c>
      <c r="H34" s="24"/>
      <c r="I34" s="10"/>
      <c r="J34" s="10"/>
    </row>
    <row r="35">
      <c r="A35" s="1"/>
      <c r="B35" s="21" t="str">
        <f t="shared" si="3"/>
        <v>All Item-12</v>
      </c>
      <c r="C35" s="49"/>
      <c r="D35" s="21" t="s">
        <v>235</v>
      </c>
      <c r="E35" s="21" t="s">
        <v>202</v>
      </c>
      <c r="F35" s="21" t="s">
        <v>236</v>
      </c>
      <c r="G35" s="21" t="s">
        <v>237</v>
      </c>
      <c r="H35" s="24"/>
      <c r="I35" s="10"/>
      <c r="J35" s="10"/>
    </row>
    <row r="36">
      <c r="A36" s="1"/>
      <c r="B36" s="21" t="str">
        <f t="shared" si="3"/>
        <v>All Item-13</v>
      </c>
      <c r="C36" s="49"/>
      <c r="D36" s="21" t="s">
        <v>238</v>
      </c>
      <c r="E36" s="21" t="s">
        <v>202</v>
      </c>
      <c r="F36" s="21" t="s">
        <v>239</v>
      </c>
      <c r="G36" s="21" t="s">
        <v>240</v>
      </c>
      <c r="H36" s="24"/>
      <c r="I36" s="10"/>
      <c r="J36" s="10"/>
    </row>
    <row r="37">
      <c r="A37" s="1"/>
      <c r="B37" s="21" t="str">
        <f t="shared" si="3"/>
        <v>All Item-14</v>
      </c>
      <c r="C37" s="49"/>
      <c r="D37" s="21" t="s">
        <v>241</v>
      </c>
      <c r="E37" s="21" t="s">
        <v>202</v>
      </c>
      <c r="F37" s="21" t="s">
        <v>242</v>
      </c>
      <c r="G37" s="21" t="s">
        <v>243</v>
      </c>
      <c r="H37" s="24"/>
      <c r="I37" s="10"/>
      <c r="J37" s="10"/>
    </row>
    <row r="38">
      <c r="A38" s="1"/>
      <c r="B38" s="21" t="str">
        <f t="shared" si="3"/>
        <v>All Item-15</v>
      </c>
      <c r="C38" s="49"/>
      <c r="D38" s="21" t="s">
        <v>244</v>
      </c>
      <c r="E38" s="21" t="s">
        <v>202</v>
      </c>
      <c r="F38" s="21" t="s">
        <v>245</v>
      </c>
      <c r="G38" s="21" t="s">
        <v>246</v>
      </c>
      <c r="H38" s="24"/>
      <c r="I38" s="10"/>
      <c r="J38" s="10"/>
    </row>
    <row r="39">
      <c r="A39" s="1"/>
      <c r="B39" s="21" t="str">
        <f t="shared" si="3"/>
        <v>All Item-16</v>
      </c>
      <c r="C39" s="49"/>
      <c r="D39" s="21" t="s">
        <v>247</v>
      </c>
      <c r="E39" s="21" t="s">
        <v>248</v>
      </c>
      <c r="F39" s="21" t="s">
        <v>249</v>
      </c>
      <c r="G39" s="21" t="s">
        <v>250</v>
      </c>
      <c r="H39" s="24"/>
      <c r="I39" s="10"/>
      <c r="J39" s="10"/>
    </row>
    <row r="40">
      <c r="A40" s="1"/>
      <c r="B40" s="21" t="str">
        <f t="shared" si="3"/>
        <v>All Item-17</v>
      </c>
      <c r="C40" s="49"/>
      <c r="D40" s="21" t="s">
        <v>251</v>
      </c>
      <c r="E40" s="21" t="s">
        <v>252</v>
      </c>
      <c r="F40" s="21" t="s">
        <v>253</v>
      </c>
      <c r="G40" s="21" t="s">
        <v>254</v>
      </c>
      <c r="H40" s="24"/>
      <c r="I40" s="10"/>
      <c r="J40" s="10"/>
    </row>
    <row r="41">
      <c r="A41" s="1"/>
      <c r="B41" s="21" t="str">
        <f t="shared" si="3"/>
        <v>All Item-18</v>
      </c>
      <c r="C41" s="49"/>
      <c r="D41" s="21" t="s">
        <v>255</v>
      </c>
      <c r="E41" s="21" t="s">
        <v>202</v>
      </c>
      <c r="F41" s="21" t="s">
        <v>256</v>
      </c>
      <c r="G41" s="21" t="s">
        <v>230</v>
      </c>
      <c r="H41" s="24"/>
      <c r="I41" s="10"/>
      <c r="J41" s="10"/>
    </row>
    <row r="42">
      <c r="A42" s="1"/>
      <c r="B42" s="21" t="str">
        <f t="shared" si="3"/>
        <v>All Item-19</v>
      </c>
      <c r="C42" s="48"/>
      <c r="D42" s="21" t="s">
        <v>257</v>
      </c>
      <c r="E42" s="21" t="s">
        <v>202</v>
      </c>
      <c r="F42" s="21" t="s">
        <v>258</v>
      </c>
      <c r="G42" s="21" t="s">
        <v>230</v>
      </c>
      <c r="H42" s="24"/>
      <c r="I42" s="10"/>
      <c r="J42" s="10"/>
    </row>
    <row r="43">
      <c r="A43" s="1"/>
      <c r="B43" s="21" t="str">
        <f t="shared" si="3"/>
        <v>All Item-20</v>
      </c>
      <c r="C43" s="47" t="s">
        <v>259</v>
      </c>
      <c r="D43" s="21" t="s">
        <v>260</v>
      </c>
      <c r="E43" s="21" t="s">
        <v>202</v>
      </c>
      <c r="F43" s="21" t="s">
        <v>261</v>
      </c>
      <c r="G43" s="21" t="s">
        <v>262</v>
      </c>
      <c r="H43" s="24"/>
      <c r="I43" s="10"/>
      <c r="J43" s="10"/>
    </row>
    <row r="44">
      <c r="A44" s="1"/>
      <c r="B44" s="21" t="str">
        <f t="shared" si="3"/>
        <v>All Item-21</v>
      </c>
      <c r="C44" s="48"/>
      <c r="D44" s="21" t="s">
        <v>263</v>
      </c>
      <c r="E44" s="21" t="s">
        <v>202</v>
      </c>
      <c r="F44" s="21" t="s">
        <v>264</v>
      </c>
      <c r="G44" s="21" t="s">
        <v>262</v>
      </c>
      <c r="H44" s="24"/>
      <c r="I44" s="10"/>
      <c r="J44" s="10"/>
    </row>
    <row r="45">
      <c r="A45" s="1"/>
      <c r="B45" s="21" t="str">
        <f t="shared" si="3"/>
        <v>All Item-22</v>
      </c>
      <c r="C45" s="47" t="s">
        <v>265</v>
      </c>
      <c r="D45" s="21" t="s">
        <v>266</v>
      </c>
      <c r="E45" s="21" t="s">
        <v>202</v>
      </c>
      <c r="F45" s="21" t="s">
        <v>267</v>
      </c>
      <c r="G45" s="21" t="s">
        <v>268</v>
      </c>
      <c r="H45" s="24"/>
      <c r="I45" s="10"/>
      <c r="J45" s="10"/>
    </row>
    <row r="46">
      <c r="A46" s="1"/>
      <c r="B46" s="21" t="str">
        <f t="shared" si="3"/>
        <v>All Item-23</v>
      </c>
      <c r="C46" s="49"/>
      <c r="D46" s="21" t="s">
        <v>269</v>
      </c>
      <c r="E46" s="21" t="s">
        <v>270</v>
      </c>
      <c r="F46" s="21" t="s">
        <v>271</v>
      </c>
      <c r="G46" s="21" t="s">
        <v>272</v>
      </c>
      <c r="H46" s="24"/>
      <c r="I46" s="10"/>
      <c r="J46" s="10"/>
    </row>
    <row r="47">
      <c r="A47" s="1"/>
      <c r="B47" s="21" t="str">
        <f t="shared" si="3"/>
        <v>All Item-24</v>
      </c>
      <c r="C47" s="49"/>
      <c r="D47" s="21" t="s">
        <v>273</v>
      </c>
      <c r="E47" s="21" t="s">
        <v>270</v>
      </c>
      <c r="F47" s="21" t="s">
        <v>274</v>
      </c>
      <c r="G47" s="21" t="s">
        <v>275</v>
      </c>
      <c r="H47" s="24"/>
      <c r="I47" s="10"/>
      <c r="J47" s="10"/>
    </row>
    <row r="48">
      <c r="A48" s="1"/>
      <c r="B48" s="21" t="str">
        <f t="shared" si="3"/>
        <v>All Item-25</v>
      </c>
      <c r="C48" s="49"/>
      <c r="D48" s="21" t="s">
        <v>276</v>
      </c>
      <c r="E48" s="21" t="s">
        <v>277</v>
      </c>
      <c r="F48" s="21" t="s">
        <v>278</v>
      </c>
      <c r="G48" s="21" t="s">
        <v>279</v>
      </c>
      <c r="H48" s="24"/>
      <c r="I48" s="10"/>
      <c r="J48" s="10"/>
    </row>
    <row r="49">
      <c r="A49" s="1"/>
      <c r="B49" s="21" t="str">
        <f t="shared" si="3"/>
        <v>All Item-26</v>
      </c>
      <c r="C49" s="49"/>
      <c r="D49" s="21" t="s">
        <v>280</v>
      </c>
      <c r="E49" s="21" t="s">
        <v>281</v>
      </c>
      <c r="F49" s="21" t="s">
        <v>271</v>
      </c>
      <c r="G49" s="21" t="s">
        <v>282</v>
      </c>
      <c r="H49" s="24"/>
      <c r="I49" s="10"/>
      <c r="J49" s="10"/>
    </row>
    <row r="50">
      <c r="A50" s="1"/>
      <c r="B50" s="21" t="str">
        <f t="shared" si="3"/>
        <v>All Item-27</v>
      </c>
      <c r="C50" s="49"/>
      <c r="D50" s="21" t="s">
        <v>283</v>
      </c>
      <c r="E50" s="21" t="s">
        <v>281</v>
      </c>
      <c r="F50" s="21" t="s">
        <v>274</v>
      </c>
      <c r="G50" s="21" t="s">
        <v>284</v>
      </c>
      <c r="H50" s="24"/>
      <c r="I50" s="10"/>
      <c r="J50" s="10"/>
    </row>
    <row r="51">
      <c r="A51" s="1"/>
      <c r="B51" s="21" t="str">
        <f t="shared" si="3"/>
        <v>All Item-28</v>
      </c>
      <c r="C51" s="49"/>
      <c r="D51" s="21" t="s">
        <v>285</v>
      </c>
      <c r="E51" s="21" t="s">
        <v>202</v>
      </c>
      <c r="F51" s="21" t="s">
        <v>286</v>
      </c>
      <c r="G51" s="21" t="s">
        <v>287</v>
      </c>
      <c r="H51" s="24"/>
      <c r="I51" s="10"/>
      <c r="J51" s="10"/>
    </row>
    <row r="52">
      <c r="A52" s="1"/>
      <c r="B52" s="21" t="str">
        <f t="shared" si="3"/>
        <v>All Item-29</v>
      </c>
      <c r="C52" s="48"/>
      <c r="D52" s="21" t="s">
        <v>288</v>
      </c>
      <c r="E52" s="21" t="s">
        <v>289</v>
      </c>
      <c r="F52" s="21" t="s">
        <v>290</v>
      </c>
      <c r="G52" s="21" t="s">
        <v>291</v>
      </c>
      <c r="H52" s="24"/>
      <c r="I52" s="10"/>
      <c r="J52" s="10"/>
    </row>
    <row r="53">
      <c r="A53" s="1"/>
      <c r="B53" s="21" t="str">
        <f t="shared" si="3"/>
        <v>All Item-30</v>
      </c>
      <c r="C53" s="47" t="s">
        <v>292</v>
      </c>
      <c r="D53" s="21" t="s">
        <v>293</v>
      </c>
      <c r="E53" s="21" t="s">
        <v>202</v>
      </c>
      <c r="F53" s="21" t="s">
        <v>294</v>
      </c>
      <c r="G53" s="21" t="s">
        <v>295</v>
      </c>
      <c r="H53" s="24"/>
      <c r="I53" s="10"/>
      <c r="J53" s="10"/>
    </row>
    <row r="54">
      <c r="A54" s="1"/>
      <c r="B54" s="21" t="str">
        <f t="shared" si="3"/>
        <v>All Item-31</v>
      </c>
      <c r="C54" s="49"/>
      <c r="D54" s="21" t="s">
        <v>296</v>
      </c>
      <c r="E54" s="21" t="s">
        <v>297</v>
      </c>
      <c r="F54" s="21" t="s">
        <v>298</v>
      </c>
      <c r="G54" s="21" t="s">
        <v>299</v>
      </c>
      <c r="H54" s="24"/>
      <c r="I54" s="10"/>
      <c r="J54" s="10"/>
    </row>
    <row r="55">
      <c r="A55" s="1"/>
      <c r="B55" s="21" t="str">
        <f t="shared" si="3"/>
        <v>All Item-32</v>
      </c>
      <c r="C55" s="48"/>
      <c r="D55" s="21" t="s">
        <v>300</v>
      </c>
      <c r="E55" s="21" t="s">
        <v>301</v>
      </c>
      <c r="F55" s="21" t="s">
        <v>302</v>
      </c>
      <c r="G55" s="21" t="s">
        <v>303</v>
      </c>
      <c r="H55" s="24"/>
      <c r="I55" s="10"/>
      <c r="J55" s="10"/>
    </row>
    <row r="56">
      <c r="A56" s="1"/>
      <c r="B56" s="21" t="str">
        <f t="shared" si="3"/>
        <v>All Item-33</v>
      </c>
      <c r="C56" s="47" t="s">
        <v>304</v>
      </c>
      <c r="D56" s="21" t="s">
        <v>305</v>
      </c>
      <c r="E56" s="21" t="s">
        <v>202</v>
      </c>
      <c r="F56" s="21" t="s">
        <v>306</v>
      </c>
      <c r="G56" s="21" t="s">
        <v>307</v>
      </c>
      <c r="H56" s="24"/>
      <c r="I56" s="10"/>
      <c r="J56" s="10"/>
    </row>
    <row r="57">
      <c r="A57" s="1"/>
      <c r="B57" s="21" t="str">
        <f t="shared" si="3"/>
        <v>All Item-34</v>
      </c>
      <c r="C57" s="49"/>
      <c r="D57" s="21" t="s">
        <v>308</v>
      </c>
      <c r="E57" s="21" t="s">
        <v>202</v>
      </c>
      <c r="F57" s="21" t="s">
        <v>306</v>
      </c>
      <c r="G57" s="21" t="s">
        <v>309</v>
      </c>
      <c r="H57" s="24"/>
      <c r="I57" s="10"/>
      <c r="J57" s="10"/>
    </row>
    <row r="58">
      <c r="A58" s="1"/>
      <c r="B58" s="21" t="str">
        <f t="shared" si="3"/>
        <v>All Item-35</v>
      </c>
      <c r="C58" s="49"/>
      <c r="D58" s="21" t="s">
        <v>310</v>
      </c>
      <c r="E58" s="21" t="s">
        <v>202</v>
      </c>
      <c r="F58" s="21" t="s">
        <v>311</v>
      </c>
      <c r="G58" s="21" t="s">
        <v>312</v>
      </c>
      <c r="H58" s="24"/>
      <c r="I58" s="10"/>
      <c r="J58" s="10"/>
    </row>
    <row r="59">
      <c r="A59" s="1"/>
      <c r="B59" s="21" t="str">
        <f t="shared" si="3"/>
        <v>All Item-36</v>
      </c>
      <c r="C59" s="49"/>
      <c r="D59" s="21" t="s">
        <v>313</v>
      </c>
      <c r="E59" s="21" t="s">
        <v>202</v>
      </c>
      <c r="F59" s="21" t="s">
        <v>314</v>
      </c>
      <c r="G59" s="21" t="s">
        <v>315</v>
      </c>
      <c r="H59" s="24"/>
      <c r="I59" s="10"/>
      <c r="J59" s="10"/>
    </row>
    <row r="60">
      <c r="A60" s="1"/>
      <c r="B60" s="21" t="str">
        <f t="shared" si="3"/>
        <v>All Item-37</v>
      </c>
      <c r="C60" s="49"/>
      <c r="D60" s="21" t="s">
        <v>316</v>
      </c>
      <c r="E60" s="21" t="s">
        <v>202</v>
      </c>
      <c r="F60" s="21" t="s">
        <v>317</v>
      </c>
      <c r="G60" s="21" t="s">
        <v>318</v>
      </c>
      <c r="H60" s="24"/>
      <c r="I60" s="10"/>
      <c r="J60" s="10"/>
    </row>
    <row r="61">
      <c r="A61" s="1"/>
      <c r="B61" s="21" t="str">
        <f t="shared" si="3"/>
        <v>All Item-38</v>
      </c>
      <c r="C61" s="49"/>
      <c r="D61" s="21" t="s">
        <v>319</v>
      </c>
      <c r="E61" s="21" t="s">
        <v>202</v>
      </c>
      <c r="F61" s="21" t="s">
        <v>320</v>
      </c>
      <c r="G61" s="21" t="s">
        <v>321</v>
      </c>
      <c r="H61" s="24"/>
      <c r="I61" s="10"/>
      <c r="J61" s="10"/>
    </row>
    <row r="62">
      <c r="A62" s="1"/>
      <c r="B62" s="21" t="str">
        <f t="shared" si="3"/>
        <v>All Item-39</v>
      </c>
      <c r="C62" s="48"/>
      <c r="D62" s="21" t="s">
        <v>322</v>
      </c>
      <c r="E62" s="21" t="s">
        <v>202</v>
      </c>
      <c r="F62" s="21" t="s">
        <v>323</v>
      </c>
      <c r="G62" s="21" t="s">
        <v>324</v>
      </c>
      <c r="H62" s="24"/>
      <c r="I62" s="10"/>
      <c r="J62" s="10"/>
    </row>
    <row r="63">
      <c r="A63" s="1"/>
      <c r="B63" s="21" t="str">
        <f t="shared" si="3"/>
        <v>All Item-40</v>
      </c>
      <c r="C63" s="47" t="s">
        <v>265</v>
      </c>
      <c r="D63" s="21" t="s">
        <v>325</v>
      </c>
      <c r="E63" s="21" t="s">
        <v>202</v>
      </c>
      <c r="F63" s="21" t="s">
        <v>326</v>
      </c>
      <c r="G63" s="21" t="s">
        <v>327</v>
      </c>
      <c r="H63" s="24"/>
      <c r="I63" s="10"/>
      <c r="J63" s="10"/>
    </row>
    <row r="64">
      <c r="A64" s="1"/>
      <c r="B64" s="21" t="str">
        <f t="shared" si="3"/>
        <v>All Item-41</v>
      </c>
      <c r="C64" s="49"/>
      <c r="D64" s="21" t="s">
        <v>328</v>
      </c>
      <c r="E64" s="21" t="s">
        <v>329</v>
      </c>
      <c r="F64" s="21" t="s">
        <v>326</v>
      </c>
      <c r="G64" s="21" t="s">
        <v>330</v>
      </c>
      <c r="H64" s="24"/>
      <c r="I64" s="10"/>
      <c r="J64" s="10"/>
    </row>
    <row r="65">
      <c r="A65" s="1"/>
      <c r="B65" s="21" t="str">
        <f t="shared" si="3"/>
        <v>All Item-42</v>
      </c>
      <c r="C65" s="49"/>
      <c r="D65" s="21" t="s">
        <v>331</v>
      </c>
      <c r="E65" s="21" t="s">
        <v>332</v>
      </c>
      <c r="F65" s="21" t="s">
        <v>326</v>
      </c>
      <c r="G65" s="21" t="s">
        <v>333</v>
      </c>
      <c r="H65" s="24"/>
      <c r="I65" s="10"/>
      <c r="J65" s="10"/>
    </row>
    <row r="66">
      <c r="A66" s="1"/>
      <c r="B66" s="21" t="str">
        <f t="shared" si="3"/>
        <v>All Item-43</v>
      </c>
      <c r="C66" s="49"/>
      <c r="D66" s="21" t="s">
        <v>334</v>
      </c>
      <c r="E66" s="21" t="s">
        <v>335</v>
      </c>
      <c r="F66" s="21" t="s">
        <v>336</v>
      </c>
      <c r="G66" s="21" t="s">
        <v>337</v>
      </c>
      <c r="H66" s="24"/>
      <c r="I66" s="10"/>
      <c r="J66" s="10"/>
    </row>
    <row r="67">
      <c r="A67" s="1"/>
      <c r="B67" s="21" t="str">
        <f t="shared" si="3"/>
        <v>All Item-44</v>
      </c>
      <c r="C67" s="49"/>
      <c r="D67" s="21" t="s">
        <v>338</v>
      </c>
      <c r="E67" s="21" t="s">
        <v>339</v>
      </c>
      <c r="F67" s="21" t="s">
        <v>340</v>
      </c>
      <c r="G67" s="21" t="s">
        <v>341</v>
      </c>
      <c r="H67" s="24"/>
      <c r="I67" s="10"/>
      <c r="J67" s="10"/>
    </row>
    <row r="68">
      <c r="A68" s="1"/>
      <c r="B68" s="21" t="str">
        <f t="shared" si="3"/>
        <v>All Item-45</v>
      </c>
      <c r="C68" s="49"/>
      <c r="D68" s="21" t="s">
        <v>342</v>
      </c>
      <c r="E68" s="21" t="s">
        <v>202</v>
      </c>
      <c r="F68" s="21" t="s">
        <v>343</v>
      </c>
      <c r="G68" s="51" t="s">
        <v>344</v>
      </c>
      <c r="H68" s="24"/>
      <c r="I68" s="10"/>
      <c r="J68" s="10"/>
    </row>
    <row r="69">
      <c r="A69" s="1"/>
      <c r="B69" s="21"/>
      <c r="C69" s="52"/>
      <c r="D69" s="52"/>
      <c r="E69" s="52"/>
      <c r="F69" s="52"/>
      <c r="G69" s="52"/>
      <c r="H69" s="24"/>
      <c r="I69" s="10"/>
      <c r="J69" s="10"/>
    </row>
    <row r="70">
      <c r="A70" s="1"/>
      <c r="B70" s="21"/>
      <c r="C70" s="33"/>
      <c r="D70" s="33"/>
      <c r="E70" s="10"/>
      <c r="F70" s="10"/>
      <c r="G70" s="10"/>
      <c r="H70" s="24"/>
      <c r="I70" s="10"/>
      <c r="J70" s="10"/>
    </row>
    <row r="71">
      <c r="A71" s="1"/>
      <c r="B71" s="21"/>
      <c r="C71" s="53"/>
      <c r="D71" s="53"/>
      <c r="E71" s="53"/>
      <c r="F71" s="53"/>
      <c r="G71" s="53"/>
      <c r="H71" s="24"/>
      <c r="I71" s="10"/>
      <c r="J71" s="10"/>
    </row>
    <row r="72">
      <c r="A72" s="1"/>
      <c r="B72" s="21"/>
      <c r="C72" s="52"/>
      <c r="D72" s="52"/>
      <c r="E72" s="52"/>
      <c r="F72" s="52"/>
      <c r="G72" s="52"/>
      <c r="H72" s="24"/>
      <c r="I72" s="10"/>
      <c r="J72" s="10"/>
    </row>
    <row r="73">
      <c r="A73" s="1"/>
      <c r="B73" s="21"/>
      <c r="C73" s="52"/>
      <c r="D73" s="52"/>
      <c r="E73" s="52"/>
      <c r="F73" s="52"/>
      <c r="G73" s="52"/>
      <c r="H73" s="24"/>
      <c r="I73" s="10"/>
      <c r="J73" s="10"/>
    </row>
    <row r="74">
      <c r="A74" s="1"/>
      <c r="B74" s="21"/>
      <c r="C74" s="52"/>
      <c r="D74" s="52"/>
      <c r="E74" s="52"/>
      <c r="F74" s="52"/>
      <c r="G74" s="52"/>
      <c r="H74" s="24"/>
      <c r="I74" s="10"/>
      <c r="J74" s="10"/>
    </row>
    <row r="75">
      <c r="A75" s="1"/>
      <c r="B75" s="21"/>
      <c r="C75" s="52"/>
      <c r="D75" s="52"/>
      <c r="E75" s="52"/>
      <c r="F75" s="52"/>
      <c r="G75" s="52"/>
      <c r="H75" s="24"/>
      <c r="I75" s="10"/>
      <c r="J75" s="10"/>
    </row>
    <row r="76">
      <c r="A76" s="1"/>
      <c r="B76" s="21"/>
      <c r="C76" s="52"/>
      <c r="D76" s="52"/>
      <c r="E76" s="52"/>
      <c r="F76" s="52"/>
      <c r="G76" s="52"/>
      <c r="H76" s="24"/>
      <c r="I76" s="10"/>
      <c r="J76" s="10"/>
    </row>
    <row r="77">
      <c r="A77" s="1"/>
      <c r="B77" s="21"/>
      <c r="C77" s="33"/>
      <c r="D77" s="33"/>
      <c r="E77" s="34"/>
      <c r="F77" s="34"/>
      <c r="G77" s="10"/>
      <c r="H77" s="24"/>
      <c r="I77" s="10"/>
      <c r="J77" s="10"/>
    </row>
    <row r="78">
      <c r="A78" s="1"/>
      <c r="B78" s="21"/>
      <c r="C78" s="33"/>
      <c r="D78" s="33"/>
      <c r="E78" s="10"/>
      <c r="F78" s="10"/>
      <c r="G78" s="10"/>
      <c r="H78" s="24"/>
      <c r="I78" s="10"/>
      <c r="J78" s="10"/>
    </row>
    <row r="79">
      <c r="A79" s="1"/>
      <c r="B79" s="21"/>
      <c r="C79" s="33"/>
      <c r="D79" s="33"/>
      <c r="E79" s="10"/>
      <c r="F79" s="10"/>
      <c r="G79" s="10"/>
      <c r="H79" s="24"/>
      <c r="I79" s="10"/>
      <c r="J79" s="10"/>
    </row>
    <row r="80">
      <c r="A80" s="1"/>
      <c r="B80" s="21"/>
      <c r="C80" s="33"/>
      <c r="D80" s="33"/>
      <c r="E80" s="10"/>
      <c r="F80" s="10"/>
      <c r="G80" s="10"/>
      <c r="H80" s="24"/>
      <c r="I80" s="10"/>
      <c r="J80" s="10"/>
    </row>
    <row r="81">
      <c r="A81" s="1"/>
      <c r="B81" s="21"/>
      <c r="C81" s="33"/>
      <c r="D81" s="33"/>
      <c r="E81" s="10"/>
      <c r="F81" s="7"/>
      <c r="G81" s="10"/>
      <c r="H81" s="24"/>
      <c r="I81" s="10"/>
      <c r="J81" s="10"/>
    </row>
    <row r="82">
      <c r="A82" s="1"/>
      <c r="B82" s="21"/>
      <c r="C82" s="33"/>
      <c r="D82" s="33"/>
      <c r="E82" s="10"/>
      <c r="F82" s="10"/>
      <c r="G82" s="10"/>
      <c r="H82" s="24"/>
      <c r="I82" s="10"/>
      <c r="J82" s="10"/>
    </row>
    <row r="83">
      <c r="A83" s="1"/>
      <c r="B83" s="21"/>
      <c r="C83" s="33"/>
      <c r="D83" s="33"/>
      <c r="E83" s="10"/>
      <c r="F83" s="10"/>
      <c r="G83" s="10"/>
      <c r="H83" s="24"/>
      <c r="I83" s="10"/>
      <c r="J83" s="10"/>
    </row>
    <row r="84">
      <c r="A84" s="1"/>
      <c r="B84" s="21"/>
      <c r="C84" s="33"/>
      <c r="D84" s="33"/>
      <c r="E84" s="10"/>
      <c r="F84" s="10"/>
      <c r="G84" s="10"/>
      <c r="H84" s="24"/>
      <c r="I84" s="10"/>
      <c r="J84" s="10"/>
    </row>
    <row r="85">
      <c r="A85" s="1"/>
      <c r="B85" s="21"/>
      <c r="C85" s="33"/>
      <c r="D85" s="33"/>
      <c r="E85" s="10"/>
      <c r="F85" s="10"/>
      <c r="G85" s="10"/>
      <c r="H85" s="24"/>
      <c r="I85" s="10"/>
      <c r="J85" s="10"/>
    </row>
    <row r="86">
      <c r="A86" s="1"/>
      <c r="B86" s="21"/>
      <c r="C86" s="33"/>
      <c r="D86" s="33"/>
      <c r="E86" s="10"/>
      <c r="F86" s="10"/>
      <c r="G86" s="10"/>
      <c r="H86" s="24"/>
      <c r="I86" s="10"/>
      <c r="J86" s="10"/>
    </row>
    <row r="87">
      <c r="A87" s="1"/>
      <c r="B87" s="21"/>
      <c r="C87" s="33"/>
      <c r="D87" s="33"/>
      <c r="E87" s="10"/>
      <c r="F87" s="10"/>
      <c r="G87" s="10"/>
      <c r="H87" s="24"/>
      <c r="I87" s="10"/>
      <c r="J87" s="10"/>
    </row>
    <row r="88">
      <c r="A88" s="1"/>
      <c r="B88" s="21"/>
      <c r="C88" s="33"/>
      <c r="D88" s="33"/>
      <c r="E88" s="10"/>
      <c r="F88" s="10"/>
      <c r="G88" s="10"/>
      <c r="H88" s="24"/>
      <c r="I88" s="10"/>
      <c r="J88" s="10"/>
    </row>
    <row r="89">
      <c r="A89" s="1"/>
      <c r="B89" s="21"/>
      <c r="C89" s="33"/>
      <c r="D89" s="33"/>
      <c r="E89" s="10"/>
      <c r="F89" s="10"/>
      <c r="G89" s="10"/>
      <c r="H89" s="24"/>
      <c r="I89" s="10"/>
      <c r="J89" s="10"/>
    </row>
    <row r="90">
      <c r="A90" s="1"/>
      <c r="B90" s="21"/>
      <c r="C90" s="33"/>
      <c r="D90" s="33"/>
      <c r="E90" s="10"/>
      <c r="F90" s="10"/>
      <c r="G90" s="10"/>
      <c r="H90" s="24"/>
      <c r="I90" s="10"/>
      <c r="J90" s="10"/>
    </row>
    <row r="91">
      <c r="A91" s="1"/>
      <c r="B91" s="21"/>
      <c r="C91" s="33"/>
      <c r="D91" s="33"/>
      <c r="E91" s="10"/>
      <c r="F91" s="10"/>
      <c r="G91" s="10"/>
      <c r="H91" s="24"/>
      <c r="I91" s="10"/>
      <c r="J91" s="10"/>
    </row>
    <row r="92">
      <c r="A92" s="1"/>
      <c r="B92" s="21"/>
      <c r="C92" s="33"/>
      <c r="D92" s="33"/>
      <c r="E92" s="10"/>
      <c r="F92" s="10"/>
      <c r="G92" s="10"/>
      <c r="H92" s="24"/>
      <c r="I92" s="10"/>
      <c r="J92" s="10"/>
    </row>
    <row r="93">
      <c r="A93" s="1"/>
      <c r="B93" s="21"/>
      <c r="C93" s="33"/>
      <c r="D93" s="33"/>
      <c r="E93" s="10"/>
      <c r="F93" s="10"/>
      <c r="G93" s="10"/>
      <c r="H93" s="24"/>
      <c r="I93" s="10"/>
      <c r="J93" s="10"/>
    </row>
    <row r="94">
      <c r="A94" s="1"/>
      <c r="B94" s="21"/>
      <c r="C94" s="33"/>
      <c r="D94" s="33"/>
      <c r="E94" s="10"/>
      <c r="F94" s="10"/>
      <c r="G94" s="10"/>
      <c r="H94" s="24"/>
      <c r="I94" s="10"/>
      <c r="J94" s="10"/>
    </row>
    <row r="95">
      <c r="A95" s="1"/>
      <c r="B95" s="21"/>
      <c r="C95" s="33"/>
      <c r="D95" s="33"/>
      <c r="E95" s="10"/>
      <c r="F95" s="10"/>
      <c r="G95" s="10"/>
      <c r="H95" s="24"/>
      <c r="I95" s="10"/>
      <c r="J95" s="10"/>
    </row>
    <row r="96">
      <c r="A96" s="1"/>
      <c r="B96" s="21"/>
      <c r="C96" s="33"/>
      <c r="D96" s="33"/>
      <c r="E96" s="10"/>
      <c r="F96" s="10"/>
      <c r="G96" s="10"/>
      <c r="H96" s="24"/>
      <c r="I96" s="10"/>
      <c r="J96" s="10"/>
    </row>
    <row r="97">
      <c r="A97" s="1"/>
      <c r="B97" s="21"/>
      <c r="C97" s="33"/>
      <c r="D97" s="33"/>
      <c r="E97" s="10"/>
      <c r="F97" s="10"/>
      <c r="G97" s="10"/>
      <c r="H97" s="24"/>
      <c r="I97" s="10"/>
      <c r="J97" s="10"/>
    </row>
    <row r="98">
      <c r="A98" s="1"/>
      <c r="B98" s="21"/>
      <c r="C98" s="33"/>
      <c r="D98" s="33"/>
      <c r="E98" s="10"/>
      <c r="F98" s="10"/>
      <c r="G98" s="10"/>
      <c r="H98" s="24"/>
      <c r="I98" s="10"/>
      <c r="J98" s="10"/>
    </row>
    <row r="99">
      <c r="A99" s="1"/>
      <c r="B99" s="21"/>
      <c r="C99" s="33"/>
      <c r="D99" s="33"/>
      <c r="E99" s="10"/>
      <c r="F99" s="10"/>
      <c r="G99" s="10"/>
      <c r="H99" s="24"/>
      <c r="I99" s="10"/>
      <c r="J99" s="10"/>
    </row>
    <row r="100">
      <c r="A100" s="1"/>
      <c r="B100" s="21"/>
      <c r="C100" s="33"/>
      <c r="D100" s="33"/>
      <c r="E100" s="10"/>
      <c r="F100" s="10"/>
      <c r="G100" s="10"/>
      <c r="H100" s="24"/>
      <c r="I100" s="10"/>
      <c r="J100" s="10"/>
    </row>
    <row r="101">
      <c r="A101" s="1"/>
      <c r="B101" s="21"/>
      <c r="C101" s="33"/>
      <c r="D101" s="33"/>
      <c r="E101" s="10"/>
      <c r="F101" s="10"/>
      <c r="G101" s="10"/>
      <c r="H101" s="24"/>
      <c r="I101" s="10"/>
      <c r="J101" s="10"/>
    </row>
    <row r="102">
      <c r="A102" s="1"/>
      <c r="B102" s="21"/>
      <c r="C102" s="33"/>
      <c r="D102" s="33"/>
      <c r="E102" s="35"/>
      <c r="F102" s="36"/>
      <c r="G102" s="10"/>
      <c r="H102" s="24"/>
      <c r="I102" s="10"/>
      <c r="J102" s="10"/>
    </row>
    <row r="103">
      <c r="A103" s="1"/>
      <c r="B103" s="21"/>
      <c r="C103" s="33"/>
      <c r="D103" s="33"/>
      <c r="E103" s="29"/>
      <c r="F103" s="36"/>
      <c r="G103" s="10"/>
      <c r="H103" s="24"/>
      <c r="I103" s="10"/>
      <c r="J103" s="10"/>
    </row>
    <row r="104">
      <c r="A104" s="1"/>
      <c r="B104" s="21"/>
      <c r="C104" s="33"/>
      <c r="D104" s="33"/>
      <c r="E104" s="30"/>
      <c r="F104" s="36"/>
      <c r="G104" s="10"/>
      <c r="H104" s="24"/>
      <c r="I104" s="10"/>
      <c r="J104" s="10"/>
    </row>
    <row r="105">
      <c r="A105" s="1"/>
      <c r="B105" s="21"/>
      <c r="C105" s="33"/>
      <c r="D105" s="33"/>
      <c r="E105" s="10"/>
      <c r="F105" s="36"/>
      <c r="G105" s="10"/>
      <c r="H105" s="10"/>
      <c r="I105" s="10"/>
      <c r="J105" s="37"/>
    </row>
    <row r="106">
      <c r="A106" s="1"/>
      <c r="B106" s="21"/>
      <c r="C106" s="33"/>
      <c r="D106" s="33"/>
      <c r="E106" s="10"/>
      <c r="F106" s="36"/>
      <c r="G106" s="10"/>
      <c r="H106" s="10"/>
      <c r="I106" s="10"/>
      <c r="J106" s="37"/>
    </row>
    <row r="107">
      <c r="A107" s="1"/>
      <c r="B107" s="21"/>
      <c r="C107" s="33"/>
      <c r="D107" s="33"/>
      <c r="E107" s="10"/>
      <c r="F107" s="36"/>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1"/>
      <c r="B113" s="21"/>
      <c r="C113" s="33"/>
      <c r="D113" s="33"/>
      <c r="E113" s="10"/>
      <c r="F113" s="10"/>
      <c r="G113" s="10"/>
      <c r="H113" s="10"/>
      <c r="I113" s="10"/>
      <c r="J113" s="37"/>
    </row>
    <row r="114">
      <c r="A114" s="1"/>
      <c r="B114" s="21"/>
      <c r="C114" s="33"/>
      <c r="D114" s="33"/>
      <c r="E114" s="10"/>
      <c r="F114" s="10"/>
      <c r="G114" s="10"/>
      <c r="H114" s="10"/>
      <c r="I114" s="10"/>
      <c r="J114" s="37"/>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38"/>
      <c r="B117" s="39"/>
      <c r="C117" s="33"/>
      <c r="D117" s="33"/>
      <c r="E117" s="34"/>
      <c r="F117" s="34"/>
      <c r="G117" s="34"/>
      <c r="H117" s="34"/>
      <c r="I117" s="34"/>
      <c r="J117" s="40"/>
    </row>
    <row r="118">
      <c r="A118" s="38"/>
      <c r="B118" s="39"/>
      <c r="C118" s="33"/>
      <c r="D118" s="33"/>
      <c r="E118" s="34"/>
      <c r="F118" s="34"/>
      <c r="G118" s="34"/>
      <c r="H118" s="34"/>
      <c r="I118" s="34"/>
      <c r="J118" s="40"/>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1"/>
      <c r="B122" s="21"/>
      <c r="C122" s="33"/>
      <c r="D122" s="33"/>
      <c r="E122" s="10"/>
      <c r="F122" s="10"/>
      <c r="G122" s="10"/>
      <c r="H122" s="10"/>
      <c r="I122" s="10"/>
      <c r="J122" s="37"/>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1"/>
      <c r="B126" s="21"/>
      <c r="C126" s="33"/>
      <c r="D126" s="33"/>
      <c r="E126" s="10"/>
      <c r="F126" s="10"/>
      <c r="G126" s="10"/>
      <c r="H126" s="10"/>
      <c r="I126" s="10"/>
      <c r="J126" s="37"/>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1"/>
      <c r="B130" s="21"/>
      <c r="C130" s="33"/>
      <c r="D130" s="33"/>
      <c r="E130" s="10"/>
      <c r="F130" s="10"/>
      <c r="G130" s="10"/>
      <c r="H130" s="10"/>
      <c r="I130" s="10"/>
      <c r="J130" s="37"/>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1"/>
      <c r="B134" s="21"/>
      <c r="C134" s="33"/>
      <c r="D134" s="33"/>
      <c r="E134" s="10"/>
      <c r="F134" s="10"/>
      <c r="G134" s="10"/>
      <c r="H134" s="10"/>
      <c r="I134" s="10"/>
      <c r="J134" s="37"/>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1"/>
      <c r="B138" s="21"/>
      <c r="C138" s="33"/>
      <c r="D138" s="33"/>
      <c r="E138" s="10"/>
      <c r="F138" s="10"/>
      <c r="G138" s="10"/>
      <c r="H138" s="10"/>
      <c r="I138" s="10"/>
      <c r="J138" s="37"/>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1"/>
      <c r="B146" s="21"/>
      <c r="C146" s="33"/>
      <c r="D146" s="33"/>
      <c r="E146" s="10"/>
      <c r="F146" s="10"/>
      <c r="G146" s="10"/>
      <c r="H146" s="10"/>
      <c r="I146" s="10"/>
      <c r="J146" s="37"/>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38"/>
      <c r="B150" s="39"/>
      <c r="C150" s="33"/>
      <c r="D150" s="33"/>
      <c r="E150" s="34"/>
      <c r="F150" s="34"/>
      <c r="G150" s="34"/>
      <c r="H150" s="34"/>
      <c r="I150" s="34"/>
      <c r="J150" s="40"/>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38"/>
      <c r="B154" s="39"/>
      <c r="C154" s="33"/>
      <c r="D154" s="33"/>
      <c r="E154" s="34"/>
      <c r="F154" s="34"/>
      <c r="G154" s="34"/>
      <c r="H154" s="34"/>
      <c r="I154" s="34"/>
      <c r="J154" s="40"/>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1"/>
      <c r="B158" s="21"/>
      <c r="C158" s="33"/>
      <c r="D158" s="33"/>
      <c r="E158" s="10"/>
      <c r="F158" s="10"/>
      <c r="G158" s="10"/>
      <c r="H158" s="10"/>
      <c r="I158" s="10"/>
      <c r="J158" s="37"/>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38"/>
      <c r="B162" s="39"/>
      <c r="C162" s="33"/>
      <c r="D162" s="33"/>
      <c r="E162" s="34"/>
      <c r="F162" s="34"/>
      <c r="G162" s="34"/>
      <c r="H162" s="34"/>
      <c r="I162" s="34"/>
      <c r="J162" s="40"/>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10"/>
      <c r="J185" s="37"/>
    </row>
    <row r="186">
      <c r="A186" s="1"/>
      <c r="B186" s="21"/>
      <c r="C186" s="33"/>
      <c r="D186" s="33"/>
      <c r="E186" s="10"/>
      <c r="F186" s="10"/>
      <c r="G186" s="10"/>
      <c r="H186" s="10"/>
      <c r="I186" s="10"/>
      <c r="J186" s="37"/>
    </row>
    <row r="187">
      <c r="A187" s="1"/>
      <c r="B187" s="21"/>
      <c r="C187" s="33"/>
      <c r="D187" s="33"/>
      <c r="E187" s="10"/>
      <c r="F187" s="10"/>
      <c r="G187" s="10"/>
      <c r="H187" s="10"/>
      <c r="I187" s="10"/>
      <c r="J187" s="37"/>
    </row>
    <row r="188">
      <c r="A188" s="1"/>
      <c r="B188" s="21"/>
      <c r="C188" s="33"/>
      <c r="D188" s="33"/>
      <c r="E188" s="10"/>
      <c r="F188" s="10"/>
      <c r="G188" s="10"/>
      <c r="H188" s="10"/>
      <c r="I188" s="10"/>
      <c r="J188" s="37"/>
    </row>
    <row r="189">
      <c r="A189" s="1"/>
      <c r="B189" s="21"/>
      <c r="C189" s="33"/>
      <c r="D189" s="33"/>
      <c r="E189" s="10"/>
      <c r="F189" s="10"/>
      <c r="G189" s="10"/>
      <c r="H189" s="10"/>
      <c r="I189" s="10"/>
      <c r="J189" s="37"/>
    </row>
    <row r="190">
      <c r="A190" s="1"/>
      <c r="B190" s="21"/>
      <c r="C190" s="33"/>
      <c r="D190" s="33"/>
      <c r="E190" s="10"/>
      <c r="F190" s="10"/>
      <c r="G190" s="10"/>
      <c r="H190" s="10"/>
      <c r="I190" s="10"/>
      <c r="J190" s="37"/>
    </row>
    <row r="191">
      <c r="A191" s="1"/>
      <c r="B191" s="21"/>
      <c r="C191" s="33"/>
      <c r="D191" s="33"/>
      <c r="E191" s="10"/>
      <c r="F191" s="10"/>
      <c r="G191" s="10"/>
      <c r="H191" s="10"/>
      <c r="I191" s="10"/>
      <c r="J191" s="37"/>
    </row>
    <row r="192">
      <c r="A192" s="1"/>
      <c r="B192" s="21"/>
      <c r="C192" s="33"/>
      <c r="D192" s="33"/>
      <c r="E192" s="10"/>
      <c r="F192" s="10"/>
      <c r="G192" s="10"/>
      <c r="H192" s="10"/>
      <c r="I192" s="10"/>
      <c r="J192" s="37"/>
    </row>
    <row r="193">
      <c r="A193" s="1"/>
      <c r="B193" s="21"/>
      <c r="C193" s="33"/>
      <c r="D193" s="33"/>
      <c r="E193" s="10"/>
      <c r="F193" s="10"/>
      <c r="G193" s="10"/>
      <c r="H193" s="10"/>
      <c r="I193" s="10"/>
      <c r="J193" s="37"/>
    </row>
    <row r="194">
      <c r="A194" s="1"/>
      <c r="B194" s="21"/>
      <c r="C194" s="33"/>
      <c r="D194" s="33"/>
      <c r="E194" s="10"/>
      <c r="F194" s="10"/>
      <c r="G194" s="10"/>
      <c r="H194" s="10"/>
      <c r="I194" s="10"/>
      <c r="J194" s="37"/>
    </row>
    <row r="195">
      <c r="A195" s="1"/>
      <c r="B195" s="21"/>
      <c r="C195" s="33"/>
      <c r="D195" s="33"/>
      <c r="E195" s="10"/>
      <c r="F195" s="10"/>
      <c r="G195" s="10"/>
      <c r="H195" s="10"/>
      <c r="I195" s="10"/>
      <c r="J195" s="37"/>
    </row>
    <row r="196">
      <c r="A196" s="1"/>
      <c r="B196" s="21"/>
      <c r="C196" s="33"/>
      <c r="D196" s="33"/>
      <c r="E196" s="10"/>
      <c r="F196" s="10"/>
      <c r="G196" s="10"/>
      <c r="H196" s="10"/>
      <c r="I196" s="10"/>
      <c r="J196" s="37"/>
    </row>
    <row r="197">
      <c r="A197" s="1"/>
      <c r="B197" s="21"/>
      <c r="C197" s="33"/>
      <c r="D197" s="33"/>
      <c r="E197" s="10"/>
      <c r="F197" s="10"/>
      <c r="G197" s="10"/>
      <c r="H197" s="10"/>
      <c r="I197" s="10"/>
      <c r="J197" s="37"/>
    </row>
    <row r="198">
      <c r="A198" s="1"/>
      <c r="B198" s="21"/>
      <c r="C198" s="33"/>
      <c r="D198" s="33"/>
      <c r="E198" s="10"/>
      <c r="F198" s="10"/>
      <c r="G198" s="10"/>
      <c r="H198" s="10"/>
      <c r="I198" s="10"/>
      <c r="J198" s="37"/>
    </row>
    <row r="199">
      <c r="A199" s="1"/>
      <c r="B199" s="21"/>
      <c r="C199" s="33"/>
      <c r="D199" s="33"/>
      <c r="E199" s="10"/>
      <c r="F199" s="10"/>
      <c r="G199" s="10"/>
      <c r="H199" s="10"/>
      <c r="I199" s="10"/>
      <c r="J199" s="37"/>
    </row>
    <row r="200">
      <c r="A200" s="1"/>
      <c r="B200" s="21"/>
      <c r="C200" s="33"/>
      <c r="D200" s="33"/>
      <c r="E200" s="10"/>
      <c r="F200" s="10"/>
      <c r="G200" s="10"/>
      <c r="H200" s="10"/>
      <c r="I200" s="10"/>
      <c r="J200" s="37"/>
    </row>
    <row r="201">
      <c r="A201" s="1"/>
      <c r="B201" s="21"/>
      <c r="C201" s="33"/>
      <c r="D201" s="33"/>
      <c r="E201" s="10"/>
      <c r="F201" s="10"/>
      <c r="G201" s="10"/>
      <c r="H201" s="10"/>
      <c r="I201" s="10"/>
      <c r="J201" s="37"/>
    </row>
    <row r="202">
      <c r="A202" s="1"/>
      <c r="B202" s="21"/>
      <c r="C202" s="33"/>
      <c r="D202" s="33"/>
      <c r="E202" s="10"/>
      <c r="F202" s="10"/>
      <c r="G202" s="10"/>
      <c r="H202" s="10"/>
      <c r="I202" s="10"/>
      <c r="J202" s="37"/>
    </row>
    <row r="203">
      <c r="A203" s="1"/>
      <c r="B203" s="21"/>
      <c r="C203" s="33"/>
      <c r="D203" s="33"/>
      <c r="E203" s="10"/>
      <c r="F203" s="10"/>
      <c r="G203" s="10"/>
      <c r="H203" s="10"/>
      <c r="I203" s="10"/>
      <c r="J203" s="37"/>
    </row>
    <row r="204">
      <c r="A204" s="1"/>
      <c r="B204" s="21"/>
      <c r="C204" s="33"/>
      <c r="D204" s="33"/>
      <c r="E204" s="10"/>
      <c r="F204" s="10"/>
      <c r="G204" s="10"/>
      <c r="H204" s="10"/>
      <c r="I204" s="10"/>
      <c r="J204" s="37"/>
    </row>
    <row r="205">
      <c r="A205" s="1"/>
      <c r="B205" s="21"/>
      <c r="C205" s="33"/>
      <c r="D205" s="33"/>
      <c r="E205" s="10"/>
      <c r="F205" s="10"/>
      <c r="G205" s="10"/>
      <c r="H205" s="10"/>
      <c r="I205" s="10"/>
      <c r="J205" s="37"/>
    </row>
    <row r="206">
      <c r="A206" s="1"/>
      <c r="B206" s="21"/>
      <c r="C206" s="33"/>
      <c r="D206" s="33"/>
      <c r="E206" s="10"/>
      <c r="F206" s="10"/>
      <c r="G206" s="10"/>
      <c r="H206" s="10"/>
      <c r="I206" s="10"/>
      <c r="J206" s="37"/>
    </row>
    <row r="207">
      <c r="A207" s="1"/>
      <c r="B207" s="21"/>
      <c r="C207" s="33"/>
      <c r="D207" s="33"/>
      <c r="E207" s="10"/>
      <c r="F207" s="10"/>
      <c r="G207" s="10"/>
      <c r="H207" s="10"/>
      <c r="I207" s="10"/>
      <c r="J207" s="37"/>
    </row>
    <row r="208">
      <c r="A208" s="1"/>
      <c r="B208" s="21"/>
      <c r="C208" s="33"/>
      <c r="D208" s="33"/>
      <c r="E208" s="10"/>
      <c r="F208" s="10"/>
      <c r="G208" s="10"/>
      <c r="H208" s="10"/>
      <c r="I208" s="10"/>
      <c r="J208" s="37"/>
    </row>
    <row r="209">
      <c r="A209" s="1"/>
      <c r="B209" s="21"/>
      <c r="C209" s="33"/>
      <c r="D209" s="33"/>
      <c r="E209" s="10"/>
      <c r="F209" s="10"/>
      <c r="G209" s="10"/>
      <c r="H209" s="10"/>
      <c r="I209" s="10"/>
      <c r="J209" s="37"/>
    </row>
    <row r="210">
      <c r="A210" s="1"/>
      <c r="B210" s="21"/>
      <c r="C210" s="33"/>
      <c r="D210" s="33"/>
      <c r="E210" s="10"/>
      <c r="F210" s="10"/>
      <c r="G210" s="10"/>
      <c r="H210" s="10"/>
      <c r="I210" s="10"/>
      <c r="J210" s="37"/>
    </row>
    <row r="211">
      <c r="A211" s="1"/>
      <c r="B211" s="21"/>
      <c r="C211" s="33"/>
      <c r="D211" s="33"/>
      <c r="E211" s="10"/>
      <c r="F211" s="10"/>
      <c r="G211" s="10"/>
      <c r="H211" s="10"/>
      <c r="I211" s="10"/>
      <c r="J211" s="37"/>
    </row>
    <row r="212">
      <c r="A212" s="1"/>
      <c r="B212" s="21"/>
      <c r="C212" s="33"/>
      <c r="D212" s="33"/>
      <c r="E212" s="10"/>
      <c r="F212" s="10"/>
      <c r="G212" s="10"/>
      <c r="H212" s="10"/>
      <c r="I212" s="10"/>
      <c r="J212" s="37"/>
    </row>
    <row r="213">
      <c r="A213" s="1"/>
      <c r="B213" s="21"/>
      <c r="C213" s="33"/>
      <c r="D213" s="33"/>
      <c r="E213" s="10"/>
      <c r="F213" s="10"/>
      <c r="G213" s="10"/>
      <c r="H213" s="10"/>
      <c r="I213" s="10"/>
      <c r="J213" s="37"/>
    </row>
    <row r="214">
      <c r="A214" s="1"/>
      <c r="B214" s="21"/>
      <c r="C214" s="33"/>
      <c r="D214" s="33"/>
      <c r="E214" s="10"/>
      <c r="F214" s="10"/>
      <c r="G214" s="10"/>
      <c r="H214" s="10"/>
      <c r="I214" s="10"/>
      <c r="J214" s="37"/>
    </row>
    <row r="215">
      <c r="A215" s="1"/>
      <c r="B215" s="21"/>
      <c r="C215" s="33"/>
      <c r="D215" s="33"/>
      <c r="E215" s="10"/>
      <c r="F215" s="10"/>
      <c r="G215" s="10"/>
      <c r="H215" s="10"/>
      <c r="I215" s="10"/>
      <c r="J215" s="37"/>
    </row>
    <row r="216">
      <c r="A216" s="1"/>
      <c r="B216" s="21"/>
      <c r="C216" s="33"/>
      <c r="D216" s="33"/>
      <c r="E216" s="10"/>
      <c r="F216" s="10"/>
      <c r="G216" s="10"/>
      <c r="H216" s="10"/>
      <c r="I216" s="10"/>
      <c r="J216" s="37"/>
    </row>
    <row r="217">
      <c r="A217" s="1"/>
      <c r="B217" s="21"/>
      <c r="C217" s="33"/>
      <c r="D217" s="33"/>
      <c r="E217" s="10"/>
      <c r="F217" s="10"/>
      <c r="G217" s="10"/>
      <c r="H217" s="10"/>
      <c r="I217" s="37"/>
      <c r="J217" s="37"/>
    </row>
    <row r="218">
      <c r="A218" s="1"/>
      <c r="B218" s="21"/>
      <c r="C218" s="33"/>
      <c r="D218" s="33"/>
      <c r="E218" s="10"/>
      <c r="F218" s="10"/>
      <c r="G218" s="10"/>
      <c r="H218" s="10"/>
      <c r="I218" s="37"/>
      <c r="J218" s="37"/>
    </row>
    <row r="219">
      <c r="A219" s="1"/>
      <c r="B219" s="21"/>
      <c r="C219" s="33"/>
      <c r="D219" s="33"/>
      <c r="E219" s="10"/>
      <c r="F219" s="10"/>
      <c r="G219" s="10"/>
      <c r="H219" s="10"/>
      <c r="I219" s="37"/>
      <c r="J219" s="37"/>
    </row>
  </sheetData>
  <mergeCells count="10">
    <mergeCell ref="C56:C62"/>
    <mergeCell ref="C63:C68"/>
    <mergeCell ref="E102:E104"/>
    <mergeCell ref="C25:C26"/>
    <mergeCell ref="C27:C31"/>
    <mergeCell ref="C32:C33"/>
    <mergeCell ref="C34:C42"/>
    <mergeCell ref="C43:C44"/>
    <mergeCell ref="C45:C52"/>
    <mergeCell ref="C53:C55"/>
  </mergeCells>
  <dataValidations>
    <dataValidation type="list" allowBlank="1" sqref="H217:H219">
      <formula1>#REF!</formula1>
    </dataValidation>
    <dataValidation type="list" allowBlank="1" showErrorMessage="1" sqref="I24:I219">
      <formula1>"正常系,異常系"</formula1>
    </dataValidation>
    <dataValidation type="list" allowBlank="1" sqref="H24:H216">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219">
      <formula1>"低,中,高"</formula1>
    </dataValidation>
  </dataValidations>
  <hyperlinks>
    <hyperlink r:id="rId1" ref="B22"/>
    <hyperlink r:id="rId2" ref="G24"/>
    <hyperlink r:id="rId3" ref="G30"/>
    <hyperlink r:id="rId4" ref="G68"/>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9.75"/>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COUNTIF(G24:G237,"*")</f>
        <v>33</v>
      </c>
      <c r="J1" s="1"/>
    </row>
    <row r="2">
      <c r="A2" s="1"/>
      <c r="B2" s="4" t="s">
        <v>1</v>
      </c>
      <c r="C2" s="5" t="s">
        <v>345</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COUNTIF($I$24:$I$237,$C6)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COUNTIF($H$24:$H$237,$C10)</f>
        <v>0</v>
      </c>
      <c r="E10" s="12"/>
      <c r="F10" s="44"/>
      <c r="G10" s="1"/>
      <c r="H10" s="1"/>
      <c r="I10" s="1"/>
      <c r="J10" s="1"/>
    </row>
    <row r="11">
      <c r="A11" s="1"/>
      <c r="B11" s="3">
        <v>2.0</v>
      </c>
      <c r="C11" s="10" t="s">
        <v>27</v>
      </c>
      <c r="D11" s="11">
        <f t="shared" si="2"/>
        <v>0</v>
      </c>
      <c r="E11" s="12"/>
      <c r="G11" s="1"/>
      <c r="H11" s="1"/>
      <c r="I11" s="1"/>
      <c r="J11" s="1"/>
    </row>
    <row r="12">
      <c r="A12" s="1"/>
      <c r="B12" s="3">
        <v>3.0</v>
      </c>
      <c r="C12" s="10" t="s">
        <v>28</v>
      </c>
      <c r="D12" s="14">
        <f t="shared" si="2"/>
        <v>0</v>
      </c>
      <c r="E12" s="10" t="s">
        <v>29</v>
      </c>
      <c r="F12" s="43"/>
      <c r="G12" s="1"/>
      <c r="H12" s="1"/>
      <c r="I12" s="1"/>
      <c r="J12" s="1"/>
    </row>
    <row r="13">
      <c r="A13" s="1"/>
      <c r="B13" s="3">
        <v>4.0</v>
      </c>
      <c r="C13" s="10" t="s">
        <v>30</v>
      </c>
      <c r="D13" s="11">
        <f t="shared" si="2"/>
        <v>0</v>
      </c>
      <c r="E13" s="12"/>
      <c r="F13" s="43"/>
      <c r="G13" s="1"/>
      <c r="H13" s="1"/>
      <c r="I13" s="1"/>
      <c r="J13" s="1"/>
    </row>
    <row r="14">
      <c r="A14" s="1"/>
      <c r="B14" s="3">
        <v>5.0</v>
      </c>
      <c r="C14" s="10" t="s">
        <v>31</v>
      </c>
      <c r="D14" s="14">
        <f t="shared" si="2"/>
        <v>0</v>
      </c>
      <c r="E14" s="10" t="s">
        <v>29</v>
      </c>
      <c r="F14" s="43"/>
      <c r="G14" s="1"/>
      <c r="H14" s="1"/>
      <c r="I14" s="1"/>
      <c r="J14" s="1"/>
    </row>
    <row r="15">
      <c r="A15" s="1"/>
      <c r="B15" s="3">
        <v>6.0</v>
      </c>
      <c r="C15" s="10" t="s">
        <v>32</v>
      </c>
      <c r="D15" s="14">
        <f t="shared" si="2"/>
        <v>0</v>
      </c>
      <c r="E15" s="10" t="s">
        <v>29</v>
      </c>
      <c r="F15" s="43"/>
      <c r="G15" s="1"/>
      <c r="H15" s="1"/>
      <c r="I15" s="1"/>
      <c r="J15" s="1"/>
    </row>
    <row r="16">
      <c r="A16" s="1"/>
      <c r="B16" s="3">
        <v>7.0</v>
      </c>
      <c r="C16" s="10" t="s">
        <v>33</v>
      </c>
      <c r="D16" s="11">
        <f t="shared" si="2"/>
        <v>0</v>
      </c>
      <c r="E16" s="12"/>
      <c r="F16" s="43"/>
      <c r="G16" s="1"/>
      <c r="H16" s="1"/>
      <c r="I16" s="1"/>
      <c r="J16" s="1"/>
    </row>
    <row r="17">
      <c r="A17" s="1"/>
      <c r="B17" s="3">
        <v>8.0</v>
      </c>
      <c r="C17" s="10" t="s">
        <v>34</v>
      </c>
      <c r="D17" s="11">
        <f t="shared" si="2"/>
        <v>0</v>
      </c>
      <c r="E17" s="12"/>
      <c r="F17" s="43"/>
      <c r="G17" s="1"/>
      <c r="H17" s="1"/>
      <c r="I17" s="1"/>
      <c r="J17" s="1"/>
    </row>
    <row r="18">
      <c r="A18" s="1"/>
      <c r="B18" s="3">
        <v>9.0</v>
      </c>
      <c r="C18" s="10" t="s">
        <v>35</v>
      </c>
      <c r="D18" s="11">
        <f t="shared" si="2"/>
        <v>0</v>
      </c>
      <c r="E18" s="12"/>
      <c r="F18" s="1"/>
      <c r="G18" s="1"/>
      <c r="H18" s="1"/>
      <c r="I18" s="1"/>
      <c r="J18" s="1"/>
    </row>
    <row r="19">
      <c r="A19" s="1"/>
      <c r="B19" s="1"/>
      <c r="C19" s="1"/>
      <c r="D19" s="1"/>
      <c r="E19" s="1"/>
      <c r="F19" s="1"/>
      <c r="G19" s="1"/>
      <c r="H19" s="1"/>
      <c r="I19" s="1"/>
      <c r="J19" s="15"/>
    </row>
    <row r="20">
      <c r="A20" s="1"/>
      <c r="B20" s="1"/>
      <c r="C20" s="1"/>
      <c r="D20" s="1"/>
      <c r="E20" s="1"/>
      <c r="F20" s="1"/>
      <c r="G20" s="1"/>
      <c r="H20" s="1"/>
      <c r="I20" s="1"/>
      <c r="J20" s="1"/>
    </row>
    <row r="21">
      <c r="A21" s="1"/>
      <c r="B21" s="1"/>
      <c r="C21" s="1"/>
      <c r="D21" s="1"/>
      <c r="E21" s="1"/>
      <c r="F21" s="1"/>
      <c r="G21" s="1"/>
      <c r="H21" s="1"/>
      <c r="I21" s="1"/>
      <c r="J21" s="1"/>
    </row>
    <row r="22">
      <c r="A22" s="1"/>
      <c r="B22" s="16" t="s">
        <v>346</v>
      </c>
      <c r="C22" s="17"/>
      <c r="D22" s="17"/>
      <c r="E22" s="17"/>
      <c r="F22" s="17"/>
      <c r="G22" s="17"/>
      <c r="H22" s="17"/>
      <c r="I22" s="17"/>
      <c r="J22" s="17"/>
    </row>
    <row r="23">
      <c r="A23" s="1"/>
      <c r="B23" s="18" t="s">
        <v>37</v>
      </c>
      <c r="C23" s="20" t="s">
        <v>38</v>
      </c>
      <c r="D23" s="20" t="s">
        <v>39</v>
      </c>
      <c r="E23" s="20" t="s">
        <v>40</v>
      </c>
      <c r="F23" s="20" t="s">
        <v>41</v>
      </c>
      <c r="G23" s="20" t="s">
        <v>42</v>
      </c>
      <c r="H23" s="20" t="s">
        <v>43</v>
      </c>
      <c r="I23" s="20" t="s">
        <v>12</v>
      </c>
      <c r="J23" s="20" t="s">
        <v>44</v>
      </c>
    </row>
    <row r="24">
      <c r="A24" s="1"/>
      <c r="B24" s="10" t="str">
        <f t="shared" ref="B24:B56" si="3">$C$2 &amp; "-" &amp; ROW()-23</f>
        <v>Item Details-1</v>
      </c>
      <c r="C24" s="10" t="s">
        <v>195</v>
      </c>
      <c r="D24" s="10" t="s">
        <v>347</v>
      </c>
      <c r="E24" s="10" t="s">
        <v>197</v>
      </c>
      <c r="F24" s="10" t="s">
        <v>348</v>
      </c>
      <c r="G24" s="54" t="s">
        <v>349</v>
      </c>
      <c r="H24" s="24"/>
      <c r="I24" s="10"/>
      <c r="J24" s="10"/>
    </row>
    <row r="25">
      <c r="A25" s="1"/>
      <c r="B25" s="10" t="str">
        <f t="shared" si="3"/>
        <v>Item Details-2</v>
      </c>
      <c r="C25" s="35" t="s">
        <v>200</v>
      </c>
      <c r="D25" s="10" t="s">
        <v>201</v>
      </c>
      <c r="E25" s="10" t="s">
        <v>350</v>
      </c>
      <c r="F25" s="10" t="s">
        <v>351</v>
      </c>
      <c r="G25" s="10" t="s">
        <v>204</v>
      </c>
      <c r="H25" s="24"/>
      <c r="I25" s="10"/>
      <c r="J25" s="10"/>
    </row>
    <row r="26">
      <c r="A26" s="1"/>
      <c r="B26" s="10" t="str">
        <f t="shared" si="3"/>
        <v>Item Details-3</v>
      </c>
      <c r="C26" s="30"/>
      <c r="D26" s="10" t="s">
        <v>205</v>
      </c>
      <c r="E26" s="10" t="s">
        <v>350</v>
      </c>
      <c r="F26" s="10" t="s">
        <v>352</v>
      </c>
      <c r="G26" s="10" t="s">
        <v>57</v>
      </c>
      <c r="H26" s="24"/>
      <c r="I26" s="10"/>
      <c r="J26" s="10"/>
    </row>
    <row r="27">
      <c r="A27" s="1"/>
      <c r="B27" s="10" t="str">
        <f t="shared" si="3"/>
        <v>Item Details-4</v>
      </c>
      <c r="C27" s="35" t="s">
        <v>207</v>
      </c>
      <c r="D27" s="10" t="s">
        <v>208</v>
      </c>
      <c r="E27" s="10" t="s">
        <v>350</v>
      </c>
      <c r="F27" s="10" t="s">
        <v>353</v>
      </c>
      <c r="G27" s="10" t="s">
        <v>210</v>
      </c>
      <c r="H27" s="24"/>
      <c r="I27" s="10"/>
      <c r="J27" s="10"/>
    </row>
    <row r="28">
      <c r="A28" s="1"/>
      <c r="B28" s="10" t="str">
        <f t="shared" si="3"/>
        <v>Item Details-5</v>
      </c>
      <c r="C28" s="29"/>
      <c r="D28" s="10" t="s">
        <v>211</v>
      </c>
      <c r="E28" s="10" t="s">
        <v>350</v>
      </c>
      <c r="F28" s="10" t="s">
        <v>354</v>
      </c>
      <c r="G28" s="10" t="s">
        <v>213</v>
      </c>
      <c r="H28" s="24"/>
      <c r="I28" s="10"/>
      <c r="J28" s="10"/>
    </row>
    <row r="29">
      <c r="A29" s="1"/>
      <c r="B29" s="10" t="str">
        <f t="shared" si="3"/>
        <v>Item Details-6</v>
      </c>
      <c r="C29" s="29"/>
      <c r="D29" s="10" t="s">
        <v>214</v>
      </c>
      <c r="E29" s="10" t="s">
        <v>215</v>
      </c>
      <c r="F29" s="10" t="s">
        <v>355</v>
      </c>
      <c r="G29" s="10" t="s">
        <v>217</v>
      </c>
      <c r="H29" s="24"/>
      <c r="I29" s="10"/>
      <c r="J29" s="10"/>
    </row>
    <row r="30">
      <c r="A30" s="1"/>
      <c r="B30" s="10" t="str">
        <f t="shared" si="3"/>
        <v>Item Details-7</v>
      </c>
      <c r="C30" s="29"/>
      <c r="D30" s="10" t="s">
        <v>218</v>
      </c>
      <c r="E30" s="10" t="s">
        <v>215</v>
      </c>
      <c r="F30" s="10" t="s">
        <v>356</v>
      </c>
      <c r="G30" s="54" t="s">
        <v>357</v>
      </c>
      <c r="H30" s="24"/>
      <c r="I30" s="10"/>
      <c r="J30" s="10"/>
    </row>
    <row r="31">
      <c r="A31" s="1"/>
      <c r="B31" s="10" t="str">
        <f t="shared" si="3"/>
        <v>Item Details-8</v>
      </c>
      <c r="C31" s="30"/>
      <c r="D31" s="10" t="s">
        <v>221</v>
      </c>
      <c r="E31" s="10" t="s">
        <v>215</v>
      </c>
      <c r="F31" s="10" t="s">
        <v>358</v>
      </c>
      <c r="G31" s="10" t="s">
        <v>223</v>
      </c>
      <c r="H31" s="24"/>
      <c r="I31" s="10"/>
      <c r="J31" s="10"/>
    </row>
    <row r="32">
      <c r="A32" s="1"/>
      <c r="B32" s="10" t="str">
        <f t="shared" si="3"/>
        <v>Item Details-9</v>
      </c>
      <c r="C32" s="55" t="s">
        <v>359</v>
      </c>
      <c r="D32" s="10" t="s">
        <v>360</v>
      </c>
      <c r="E32" s="10" t="s">
        <v>350</v>
      </c>
      <c r="F32" s="10" t="s">
        <v>361</v>
      </c>
      <c r="G32" s="10" t="s">
        <v>362</v>
      </c>
      <c r="H32" s="24"/>
      <c r="I32" s="10"/>
      <c r="J32" s="10"/>
    </row>
    <row r="33">
      <c r="A33" s="1"/>
      <c r="B33" s="10" t="str">
        <f t="shared" si="3"/>
        <v>Item Details-10</v>
      </c>
      <c r="C33" s="30"/>
      <c r="D33" s="10" t="s">
        <v>363</v>
      </c>
      <c r="E33" s="10" t="s">
        <v>350</v>
      </c>
      <c r="F33" s="10" t="s">
        <v>364</v>
      </c>
      <c r="G33" s="54" t="s">
        <v>365</v>
      </c>
      <c r="H33" s="24"/>
      <c r="I33" s="10"/>
      <c r="J33" s="10"/>
    </row>
    <row r="34">
      <c r="A34" s="1"/>
      <c r="B34" s="10" t="str">
        <f t="shared" si="3"/>
        <v>Item Details-11</v>
      </c>
      <c r="C34" s="35" t="s">
        <v>366</v>
      </c>
      <c r="D34" s="10" t="s">
        <v>238</v>
      </c>
      <c r="E34" s="10" t="s">
        <v>350</v>
      </c>
      <c r="F34" s="10" t="s">
        <v>367</v>
      </c>
      <c r="G34" s="10" t="s">
        <v>240</v>
      </c>
      <c r="H34" s="24"/>
      <c r="I34" s="10"/>
      <c r="J34" s="10"/>
    </row>
    <row r="35">
      <c r="A35" s="1"/>
      <c r="B35" s="10" t="str">
        <f t="shared" si="3"/>
        <v>Item Details-12</v>
      </c>
      <c r="C35" s="29"/>
      <c r="D35" s="10" t="s">
        <v>235</v>
      </c>
      <c r="E35" s="10" t="s">
        <v>350</v>
      </c>
      <c r="F35" s="10" t="s">
        <v>368</v>
      </c>
      <c r="G35" s="10" t="s">
        <v>237</v>
      </c>
      <c r="H35" s="24"/>
      <c r="I35" s="10"/>
      <c r="J35" s="10"/>
    </row>
    <row r="36">
      <c r="A36" s="1"/>
      <c r="B36" s="10" t="str">
        <f t="shared" si="3"/>
        <v>Item Details-13</v>
      </c>
      <c r="C36" s="29"/>
      <c r="D36" s="10" t="s">
        <v>241</v>
      </c>
      <c r="E36" s="10" t="s">
        <v>350</v>
      </c>
      <c r="F36" s="10" t="s">
        <v>369</v>
      </c>
      <c r="G36" s="10" t="s">
        <v>243</v>
      </c>
      <c r="H36" s="24"/>
      <c r="I36" s="10"/>
      <c r="J36" s="10"/>
    </row>
    <row r="37">
      <c r="A37" s="1"/>
      <c r="B37" s="10" t="str">
        <f t="shared" si="3"/>
        <v>Item Details-14</v>
      </c>
      <c r="C37" s="29"/>
      <c r="D37" s="10" t="s">
        <v>244</v>
      </c>
      <c r="E37" s="10" t="s">
        <v>350</v>
      </c>
      <c r="F37" s="10" t="s">
        <v>370</v>
      </c>
      <c r="G37" s="10" t="s">
        <v>246</v>
      </c>
      <c r="H37" s="24"/>
      <c r="I37" s="10"/>
      <c r="J37" s="10"/>
    </row>
    <row r="38">
      <c r="A38" s="1"/>
      <c r="B38" s="10" t="str">
        <f t="shared" si="3"/>
        <v>Item Details-15</v>
      </c>
      <c r="C38" s="29"/>
      <c r="D38" s="10" t="s">
        <v>371</v>
      </c>
      <c r="E38" s="10" t="s">
        <v>372</v>
      </c>
      <c r="F38" s="10" t="s">
        <v>373</v>
      </c>
      <c r="G38" s="10" t="s">
        <v>374</v>
      </c>
      <c r="H38" s="24"/>
      <c r="I38" s="10"/>
      <c r="J38" s="10"/>
    </row>
    <row r="39">
      <c r="A39" s="1"/>
      <c r="B39" s="10" t="str">
        <f t="shared" si="3"/>
        <v>Item Details-16</v>
      </c>
      <c r="C39" s="29"/>
      <c r="D39" s="10" t="s">
        <v>375</v>
      </c>
      <c r="E39" s="10" t="s">
        <v>376</v>
      </c>
      <c r="F39" s="10" t="s">
        <v>373</v>
      </c>
      <c r="G39" s="10" t="s">
        <v>377</v>
      </c>
      <c r="H39" s="24"/>
      <c r="I39" s="10"/>
      <c r="J39" s="10"/>
    </row>
    <row r="40">
      <c r="A40" s="1"/>
      <c r="B40" s="10" t="str">
        <f t="shared" si="3"/>
        <v>Item Details-17</v>
      </c>
      <c r="C40" s="29"/>
      <c r="D40" s="10" t="s">
        <v>260</v>
      </c>
      <c r="E40" s="10" t="s">
        <v>350</v>
      </c>
      <c r="F40" s="10" t="s">
        <v>378</v>
      </c>
      <c r="G40" s="10" t="s">
        <v>230</v>
      </c>
      <c r="H40" s="24"/>
      <c r="I40" s="10"/>
      <c r="J40" s="10"/>
    </row>
    <row r="41">
      <c r="A41" s="1"/>
      <c r="B41" s="10" t="str">
        <f t="shared" si="3"/>
        <v>Item Details-18</v>
      </c>
      <c r="C41" s="29"/>
      <c r="D41" s="10" t="s">
        <v>255</v>
      </c>
      <c r="E41" s="10" t="s">
        <v>350</v>
      </c>
      <c r="F41" s="10" t="s">
        <v>379</v>
      </c>
      <c r="G41" s="10" t="s">
        <v>230</v>
      </c>
      <c r="H41" s="24"/>
      <c r="I41" s="10"/>
      <c r="J41" s="10"/>
    </row>
    <row r="42">
      <c r="A42" s="1"/>
      <c r="B42" s="10" t="str">
        <f t="shared" si="3"/>
        <v>Item Details-19</v>
      </c>
      <c r="C42" s="29"/>
      <c r="D42" s="10" t="s">
        <v>257</v>
      </c>
      <c r="E42" s="10" t="s">
        <v>350</v>
      </c>
      <c r="F42" s="10" t="s">
        <v>380</v>
      </c>
      <c r="G42" s="10" t="s">
        <v>230</v>
      </c>
      <c r="H42" s="24"/>
      <c r="I42" s="10"/>
      <c r="J42" s="10"/>
    </row>
    <row r="43">
      <c r="A43" s="1"/>
      <c r="B43" s="10" t="str">
        <f t="shared" si="3"/>
        <v>Item Details-20</v>
      </c>
      <c r="C43" s="30"/>
      <c r="D43" s="10" t="s">
        <v>263</v>
      </c>
      <c r="E43" s="10" t="s">
        <v>350</v>
      </c>
      <c r="F43" s="10" t="s">
        <v>381</v>
      </c>
      <c r="G43" s="10" t="s">
        <v>230</v>
      </c>
      <c r="H43" s="24"/>
      <c r="I43" s="10"/>
      <c r="J43" s="10"/>
    </row>
    <row r="44">
      <c r="A44" s="1"/>
      <c r="B44" s="10" t="str">
        <f t="shared" si="3"/>
        <v>Item Details-21</v>
      </c>
      <c r="C44" s="55" t="s">
        <v>382</v>
      </c>
      <c r="D44" s="10" t="s">
        <v>266</v>
      </c>
      <c r="E44" s="10" t="s">
        <v>372</v>
      </c>
      <c r="F44" s="10" t="s">
        <v>383</v>
      </c>
      <c r="G44" s="10" t="s">
        <v>268</v>
      </c>
      <c r="H44" s="24"/>
      <c r="I44" s="10"/>
      <c r="J44" s="10"/>
    </row>
    <row r="45">
      <c r="A45" s="1"/>
      <c r="B45" s="10" t="str">
        <f t="shared" si="3"/>
        <v>Item Details-22</v>
      </c>
      <c r="C45" s="29"/>
      <c r="D45" s="10" t="s">
        <v>273</v>
      </c>
      <c r="E45" s="10" t="s">
        <v>384</v>
      </c>
      <c r="F45" s="10" t="s">
        <v>373</v>
      </c>
      <c r="G45" s="10" t="s">
        <v>385</v>
      </c>
      <c r="H45" s="24"/>
      <c r="I45" s="10"/>
      <c r="J45" s="10"/>
    </row>
    <row r="46">
      <c r="A46" s="1"/>
      <c r="B46" s="10" t="str">
        <f t="shared" si="3"/>
        <v>Item Details-23</v>
      </c>
      <c r="C46" s="29"/>
      <c r="D46" s="10" t="s">
        <v>276</v>
      </c>
      <c r="E46" s="10" t="s">
        <v>384</v>
      </c>
      <c r="F46" s="10" t="s">
        <v>386</v>
      </c>
      <c r="G46" s="10" t="s">
        <v>279</v>
      </c>
      <c r="H46" s="24"/>
      <c r="I46" s="10"/>
      <c r="J46" s="10"/>
    </row>
    <row r="47">
      <c r="A47" s="1"/>
      <c r="B47" s="10" t="str">
        <f t="shared" si="3"/>
        <v>Item Details-24</v>
      </c>
      <c r="C47" s="30"/>
      <c r="D47" s="10" t="s">
        <v>283</v>
      </c>
      <c r="E47" s="10" t="s">
        <v>387</v>
      </c>
      <c r="F47" s="10" t="s">
        <v>373</v>
      </c>
      <c r="G47" s="10" t="s">
        <v>388</v>
      </c>
      <c r="H47" s="24"/>
      <c r="I47" s="10"/>
      <c r="J47" s="10"/>
    </row>
    <row r="48">
      <c r="A48" s="1"/>
      <c r="B48" s="10" t="str">
        <f t="shared" si="3"/>
        <v>Item Details-25</v>
      </c>
      <c r="C48" s="35" t="s">
        <v>265</v>
      </c>
      <c r="D48" s="10" t="s">
        <v>325</v>
      </c>
      <c r="E48" s="10" t="s">
        <v>350</v>
      </c>
      <c r="F48" s="10" t="s">
        <v>326</v>
      </c>
      <c r="G48" s="10" t="s">
        <v>327</v>
      </c>
      <c r="H48" s="24"/>
      <c r="I48" s="10"/>
      <c r="J48" s="10"/>
    </row>
    <row r="49">
      <c r="A49" s="1"/>
      <c r="B49" s="10" t="str">
        <f t="shared" si="3"/>
        <v>Item Details-26</v>
      </c>
      <c r="C49" s="29"/>
      <c r="D49" s="10" t="s">
        <v>328</v>
      </c>
      <c r="E49" s="10" t="s">
        <v>389</v>
      </c>
      <c r="F49" s="10" t="s">
        <v>326</v>
      </c>
      <c r="G49" s="10" t="s">
        <v>390</v>
      </c>
      <c r="H49" s="24"/>
      <c r="I49" s="10"/>
      <c r="J49" s="10"/>
    </row>
    <row r="50">
      <c r="A50" s="1"/>
      <c r="B50" s="10" t="str">
        <f t="shared" si="3"/>
        <v>Item Details-27</v>
      </c>
      <c r="C50" s="29"/>
      <c r="D50" s="10" t="s">
        <v>331</v>
      </c>
      <c r="E50" s="10" t="s">
        <v>391</v>
      </c>
      <c r="F50" s="10" t="s">
        <v>326</v>
      </c>
      <c r="G50" s="10" t="s">
        <v>392</v>
      </c>
      <c r="H50" s="24"/>
      <c r="I50" s="10"/>
      <c r="J50" s="10"/>
    </row>
    <row r="51">
      <c r="A51" s="1"/>
      <c r="B51" s="10" t="str">
        <f t="shared" si="3"/>
        <v>Item Details-28</v>
      </c>
      <c r="C51" s="29"/>
      <c r="D51" s="10" t="s">
        <v>334</v>
      </c>
      <c r="E51" s="10" t="s">
        <v>389</v>
      </c>
      <c r="F51" s="10" t="s">
        <v>393</v>
      </c>
      <c r="G51" s="10" t="s">
        <v>394</v>
      </c>
      <c r="H51" s="24"/>
      <c r="I51" s="10"/>
      <c r="J51" s="10"/>
    </row>
    <row r="52">
      <c r="A52" s="1"/>
      <c r="B52" s="10" t="str">
        <f t="shared" si="3"/>
        <v>Item Details-29</v>
      </c>
      <c r="C52" s="29"/>
      <c r="D52" s="10" t="s">
        <v>338</v>
      </c>
      <c r="E52" s="10" t="s">
        <v>384</v>
      </c>
      <c r="F52" s="10" t="s">
        <v>395</v>
      </c>
      <c r="G52" s="10" t="s">
        <v>396</v>
      </c>
      <c r="H52" s="24"/>
      <c r="I52" s="10"/>
      <c r="J52" s="10"/>
    </row>
    <row r="53">
      <c r="A53" s="1"/>
      <c r="B53" s="10" t="str">
        <f t="shared" si="3"/>
        <v>Item Details-30</v>
      </c>
      <c r="C53" s="30"/>
      <c r="D53" s="10" t="s">
        <v>342</v>
      </c>
      <c r="E53" s="10" t="s">
        <v>350</v>
      </c>
      <c r="F53" s="10" t="s">
        <v>343</v>
      </c>
      <c r="G53" s="56" t="s">
        <v>397</v>
      </c>
      <c r="H53" s="24"/>
      <c r="I53" s="10"/>
      <c r="J53" s="10"/>
    </row>
    <row r="54">
      <c r="A54" s="1"/>
      <c r="B54" s="10" t="str">
        <f t="shared" si="3"/>
        <v>Item Details-31</v>
      </c>
      <c r="C54" s="35" t="s">
        <v>292</v>
      </c>
      <c r="D54" s="10" t="s">
        <v>293</v>
      </c>
      <c r="E54" s="10" t="s">
        <v>350</v>
      </c>
      <c r="F54" s="10" t="s">
        <v>398</v>
      </c>
      <c r="G54" s="10" t="s">
        <v>295</v>
      </c>
      <c r="H54" s="24"/>
      <c r="I54" s="10"/>
      <c r="J54" s="10"/>
    </row>
    <row r="55">
      <c r="A55" s="1"/>
      <c r="B55" s="10" t="str">
        <f t="shared" si="3"/>
        <v>Item Details-32</v>
      </c>
      <c r="C55" s="29"/>
      <c r="D55" s="10" t="s">
        <v>296</v>
      </c>
      <c r="E55" s="10" t="s">
        <v>297</v>
      </c>
      <c r="F55" s="10" t="s">
        <v>399</v>
      </c>
      <c r="G55" s="10" t="s">
        <v>299</v>
      </c>
      <c r="H55" s="24"/>
      <c r="I55" s="10"/>
      <c r="J55" s="10"/>
    </row>
    <row r="56">
      <c r="A56" s="1"/>
      <c r="B56" s="10" t="str">
        <f t="shared" si="3"/>
        <v>Item Details-33</v>
      </c>
      <c r="C56" s="30"/>
      <c r="D56" s="10" t="s">
        <v>300</v>
      </c>
      <c r="E56" s="10" t="s">
        <v>301</v>
      </c>
      <c r="F56" s="10" t="s">
        <v>400</v>
      </c>
      <c r="G56" s="10" t="s">
        <v>303</v>
      </c>
      <c r="H56" s="24"/>
      <c r="I56" s="10"/>
      <c r="J56" s="10"/>
    </row>
    <row r="57">
      <c r="A57" s="1"/>
      <c r="B57" s="10"/>
      <c r="C57" s="52"/>
      <c r="D57" s="52"/>
      <c r="E57" s="52"/>
      <c r="F57" s="52"/>
      <c r="G57" s="52"/>
      <c r="H57" s="24"/>
      <c r="I57" s="10"/>
      <c r="J57" s="10"/>
    </row>
    <row r="58">
      <c r="A58" s="1"/>
      <c r="B58" s="21"/>
      <c r="C58" s="57"/>
      <c r="D58" s="57"/>
      <c r="E58" s="10"/>
      <c r="F58" s="10"/>
      <c r="G58" s="10"/>
      <c r="H58" s="24"/>
      <c r="I58" s="10"/>
      <c r="J58" s="10"/>
    </row>
    <row r="59">
      <c r="A59" s="1"/>
      <c r="B59" s="21"/>
      <c r="C59" s="57"/>
      <c r="D59" s="57"/>
      <c r="E59" s="10"/>
      <c r="F59" s="10"/>
      <c r="G59" s="10"/>
      <c r="H59" s="24"/>
      <c r="I59" s="10"/>
      <c r="J59" s="10"/>
    </row>
    <row r="60">
      <c r="A60" s="1"/>
      <c r="B60" s="21"/>
      <c r="C60" s="57"/>
      <c r="D60" s="57"/>
      <c r="E60" s="10"/>
      <c r="F60" s="10"/>
      <c r="G60" s="10"/>
      <c r="H60" s="24"/>
      <c r="I60" s="10"/>
      <c r="J60" s="10"/>
    </row>
    <row r="61">
      <c r="A61" s="1"/>
      <c r="B61" s="21"/>
      <c r="C61" s="57"/>
      <c r="D61" s="57"/>
      <c r="E61" s="10"/>
      <c r="F61" s="10"/>
      <c r="G61" s="10"/>
      <c r="H61" s="24"/>
      <c r="I61" s="10"/>
      <c r="J61" s="10"/>
    </row>
    <row r="62">
      <c r="A62" s="1"/>
      <c r="B62" s="21"/>
      <c r="C62" s="57"/>
      <c r="D62" s="57"/>
      <c r="E62" s="10"/>
      <c r="F62" s="10"/>
      <c r="G62" s="10"/>
      <c r="H62" s="24"/>
      <c r="I62" s="10"/>
      <c r="J62" s="10"/>
    </row>
    <row r="63">
      <c r="A63" s="1"/>
      <c r="B63" s="21"/>
      <c r="C63" s="57"/>
      <c r="D63" s="57"/>
      <c r="E63" s="10"/>
      <c r="F63" s="10"/>
      <c r="G63" s="10"/>
      <c r="H63" s="24"/>
      <c r="I63" s="10"/>
      <c r="J63" s="10"/>
    </row>
    <row r="64">
      <c r="A64" s="1"/>
      <c r="B64" s="21"/>
      <c r="C64" s="57"/>
      <c r="D64" s="57"/>
      <c r="E64" s="10"/>
      <c r="F64" s="10"/>
      <c r="G64" s="10"/>
      <c r="H64" s="24"/>
      <c r="I64" s="10"/>
      <c r="J64" s="10"/>
    </row>
    <row r="65">
      <c r="A65" s="1"/>
      <c r="B65" s="21"/>
      <c r="C65" s="57"/>
      <c r="D65" s="57"/>
      <c r="E65" s="10"/>
      <c r="F65" s="10"/>
      <c r="G65" s="10"/>
      <c r="H65" s="24"/>
      <c r="I65" s="10"/>
      <c r="J65" s="10"/>
    </row>
    <row r="66">
      <c r="A66" s="1"/>
      <c r="B66" s="21"/>
      <c r="C66" s="57"/>
      <c r="D66" s="57"/>
      <c r="E66" s="10"/>
      <c r="F66" s="10"/>
      <c r="G66" s="10"/>
      <c r="H66" s="24"/>
      <c r="I66" s="10"/>
      <c r="J66" s="10"/>
    </row>
    <row r="67">
      <c r="A67" s="1"/>
      <c r="B67" s="21"/>
      <c r="C67" s="57"/>
      <c r="D67" s="57"/>
      <c r="E67" s="10"/>
      <c r="F67" s="10"/>
      <c r="G67" s="10"/>
      <c r="H67" s="24"/>
      <c r="I67" s="10"/>
      <c r="J67" s="10"/>
    </row>
    <row r="68">
      <c r="A68" s="1"/>
      <c r="B68" s="21"/>
      <c r="C68" s="57"/>
      <c r="D68" s="57"/>
      <c r="E68" s="10"/>
      <c r="F68" s="10"/>
      <c r="G68" s="10"/>
      <c r="H68" s="24"/>
      <c r="I68" s="10"/>
      <c r="J68" s="10"/>
    </row>
    <row r="69">
      <c r="A69" s="1"/>
      <c r="B69" s="21"/>
      <c r="C69" s="57"/>
      <c r="D69" s="57"/>
      <c r="E69" s="10"/>
      <c r="F69" s="10"/>
      <c r="G69" s="10"/>
      <c r="H69" s="24"/>
      <c r="I69" s="10"/>
      <c r="J69" s="10"/>
    </row>
    <row r="70">
      <c r="A70" s="1"/>
      <c r="B70" s="21"/>
      <c r="C70" s="57"/>
      <c r="D70" s="57"/>
      <c r="E70" s="10"/>
      <c r="F70" s="10"/>
      <c r="G70" s="10"/>
      <c r="H70" s="24"/>
      <c r="I70" s="10"/>
      <c r="J70" s="10"/>
    </row>
    <row r="71">
      <c r="A71" s="1"/>
      <c r="B71" s="21"/>
      <c r="C71" s="57"/>
      <c r="D71" s="57"/>
      <c r="E71" s="10"/>
      <c r="F71" s="10"/>
      <c r="G71" s="10"/>
      <c r="H71" s="24"/>
      <c r="I71" s="10"/>
      <c r="J71" s="10"/>
    </row>
    <row r="72">
      <c r="A72" s="1"/>
      <c r="B72" s="21"/>
      <c r="C72" s="57"/>
      <c r="D72" s="57"/>
      <c r="E72" s="34"/>
      <c r="F72" s="10"/>
      <c r="G72" s="10"/>
      <c r="H72" s="24"/>
      <c r="I72" s="10"/>
      <c r="J72" s="10"/>
    </row>
    <row r="73">
      <c r="A73" s="1"/>
      <c r="B73" s="21"/>
      <c r="C73" s="57"/>
      <c r="D73" s="57"/>
      <c r="E73" s="34"/>
      <c r="F73" s="10"/>
      <c r="G73" s="10"/>
      <c r="H73" s="24"/>
      <c r="I73" s="10"/>
      <c r="J73" s="10"/>
    </row>
    <row r="74">
      <c r="A74" s="1"/>
      <c r="B74" s="21"/>
      <c r="C74" s="57"/>
      <c r="D74" s="57"/>
      <c r="E74" s="10"/>
      <c r="F74" s="10"/>
      <c r="G74" s="10"/>
      <c r="H74" s="24"/>
      <c r="I74" s="10"/>
      <c r="J74" s="10"/>
    </row>
    <row r="75">
      <c r="A75" s="1"/>
      <c r="B75" s="21"/>
      <c r="C75" s="57"/>
      <c r="D75" s="57"/>
      <c r="E75" s="34"/>
      <c r="F75" s="34"/>
      <c r="G75" s="10"/>
      <c r="H75" s="24"/>
      <c r="I75" s="10"/>
      <c r="J75" s="10"/>
    </row>
    <row r="76">
      <c r="A76" s="1"/>
      <c r="B76" s="21"/>
      <c r="C76" s="57"/>
      <c r="D76" s="57"/>
      <c r="E76" s="10"/>
      <c r="F76" s="10"/>
      <c r="G76" s="10"/>
      <c r="H76" s="24"/>
      <c r="I76" s="10"/>
      <c r="J76" s="10"/>
    </row>
    <row r="77">
      <c r="A77" s="1"/>
      <c r="B77" s="21"/>
      <c r="C77" s="57"/>
      <c r="D77" s="57"/>
      <c r="E77" s="10"/>
      <c r="F77" s="10"/>
      <c r="G77" s="10"/>
      <c r="H77" s="24"/>
      <c r="I77" s="10"/>
      <c r="J77" s="10"/>
    </row>
    <row r="78">
      <c r="A78" s="1"/>
      <c r="B78" s="21"/>
      <c r="C78" s="57"/>
      <c r="D78" s="57"/>
      <c r="E78" s="10"/>
      <c r="F78" s="10"/>
      <c r="G78" s="10"/>
      <c r="H78" s="24"/>
      <c r="I78" s="10"/>
      <c r="J78" s="10"/>
    </row>
    <row r="79">
      <c r="A79" s="1"/>
      <c r="B79" s="21"/>
      <c r="C79" s="57"/>
      <c r="D79" s="57"/>
      <c r="E79" s="10"/>
      <c r="F79" s="7"/>
      <c r="G79" s="10"/>
      <c r="H79" s="24"/>
      <c r="I79" s="10"/>
      <c r="J79" s="10"/>
    </row>
    <row r="80">
      <c r="A80" s="1"/>
      <c r="B80" s="21"/>
      <c r="C80" s="57"/>
      <c r="D80" s="57"/>
      <c r="E80" s="10"/>
      <c r="F80" s="10"/>
      <c r="G80" s="10"/>
      <c r="H80" s="24"/>
      <c r="I80" s="10"/>
      <c r="J80" s="10"/>
    </row>
    <row r="81">
      <c r="A81" s="1"/>
      <c r="B81" s="21"/>
      <c r="C81" s="57"/>
      <c r="D81" s="57"/>
      <c r="E81" s="10"/>
      <c r="F81" s="10"/>
      <c r="G81" s="10"/>
      <c r="H81" s="24"/>
      <c r="I81" s="10"/>
      <c r="J81" s="10"/>
    </row>
    <row r="82">
      <c r="A82" s="1"/>
      <c r="B82" s="21"/>
      <c r="C82" s="57"/>
      <c r="D82" s="57"/>
      <c r="E82" s="10"/>
      <c r="F82" s="10"/>
      <c r="G82" s="10"/>
      <c r="H82" s="24"/>
      <c r="I82" s="10"/>
      <c r="J82" s="10"/>
    </row>
    <row r="83">
      <c r="A83" s="1"/>
      <c r="B83" s="21"/>
      <c r="C83" s="57"/>
      <c r="D83" s="57"/>
      <c r="E83" s="10"/>
      <c r="F83" s="10"/>
      <c r="G83" s="10"/>
      <c r="H83" s="24"/>
      <c r="I83" s="10"/>
      <c r="J83" s="10"/>
    </row>
    <row r="84">
      <c r="A84" s="1"/>
      <c r="B84" s="21"/>
      <c r="C84" s="57"/>
      <c r="D84" s="57"/>
      <c r="E84" s="10"/>
      <c r="F84" s="10"/>
      <c r="G84" s="10"/>
      <c r="H84" s="24"/>
      <c r="I84" s="10"/>
      <c r="J84" s="10"/>
    </row>
    <row r="85">
      <c r="A85" s="1"/>
      <c r="B85" s="21"/>
      <c r="C85" s="57"/>
      <c r="D85" s="57"/>
      <c r="E85" s="10"/>
      <c r="F85" s="10"/>
      <c r="G85" s="10"/>
      <c r="H85" s="24"/>
      <c r="I85" s="10"/>
      <c r="J85" s="10"/>
    </row>
    <row r="86">
      <c r="A86" s="1"/>
      <c r="B86" s="21"/>
      <c r="C86" s="57"/>
      <c r="D86" s="57"/>
      <c r="E86" s="10"/>
      <c r="F86" s="10"/>
      <c r="G86" s="10"/>
      <c r="H86" s="24"/>
      <c r="I86" s="10"/>
      <c r="J86" s="10"/>
    </row>
    <row r="87">
      <c r="A87" s="1"/>
      <c r="B87" s="21"/>
      <c r="C87" s="57"/>
      <c r="D87" s="57"/>
      <c r="E87" s="10"/>
      <c r="F87" s="10"/>
      <c r="G87" s="10"/>
      <c r="H87" s="24"/>
      <c r="I87" s="10"/>
      <c r="J87" s="10"/>
    </row>
    <row r="88">
      <c r="A88" s="1"/>
      <c r="B88" s="21"/>
      <c r="C88" s="57"/>
      <c r="D88" s="57"/>
      <c r="E88" s="10"/>
      <c r="F88" s="10"/>
      <c r="G88" s="10"/>
      <c r="H88" s="24"/>
      <c r="I88" s="10"/>
      <c r="J88" s="10"/>
    </row>
    <row r="89">
      <c r="A89" s="1"/>
      <c r="B89" s="21"/>
      <c r="C89" s="57"/>
      <c r="D89" s="57"/>
      <c r="E89" s="10"/>
      <c r="F89" s="10"/>
      <c r="G89" s="10"/>
      <c r="H89" s="24"/>
      <c r="I89" s="10"/>
      <c r="J89" s="10"/>
    </row>
    <row r="90">
      <c r="A90" s="1"/>
      <c r="B90" s="21"/>
      <c r="C90" s="57"/>
      <c r="D90" s="57"/>
      <c r="E90" s="10"/>
      <c r="F90" s="10"/>
      <c r="G90" s="10"/>
      <c r="H90" s="24"/>
      <c r="I90" s="10"/>
      <c r="J90" s="10"/>
    </row>
    <row r="91">
      <c r="A91" s="1"/>
      <c r="B91" s="21"/>
      <c r="C91" s="57"/>
      <c r="D91" s="57"/>
      <c r="E91" s="10"/>
      <c r="F91" s="10"/>
      <c r="G91" s="10"/>
      <c r="H91" s="24"/>
      <c r="I91" s="10"/>
      <c r="J91" s="10"/>
    </row>
    <row r="92">
      <c r="A92" s="1"/>
      <c r="B92" s="21"/>
      <c r="C92" s="57"/>
      <c r="D92" s="57"/>
      <c r="E92" s="10"/>
      <c r="F92" s="10"/>
      <c r="G92" s="10"/>
      <c r="H92" s="24"/>
      <c r="I92" s="10"/>
      <c r="J92" s="10"/>
    </row>
    <row r="93">
      <c r="A93" s="1"/>
      <c r="B93" s="21"/>
      <c r="C93" s="57"/>
      <c r="D93" s="57"/>
      <c r="E93" s="10"/>
      <c r="F93" s="10"/>
      <c r="G93" s="10"/>
      <c r="H93" s="24"/>
      <c r="I93" s="10"/>
      <c r="J93" s="10"/>
    </row>
    <row r="94">
      <c r="A94" s="1"/>
      <c r="B94" s="21"/>
      <c r="C94" s="57"/>
      <c r="D94" s="57"/>
      <c r="E94" s="10"/>
      <c r="F94" s="10"/>
      <c r="G94" s="10"/>
      <c r="H94" s="24"/>
      <c r="I94" s="10"/>
      <c r="J94" s="10"/>
    </row>
    <row r="95">
      <c r="A95" s="1"/>
      <c r="B95" s="21"/>
      <c r="C95" s="57"/>
      <c r="D95" s="57"/>
      <c r="E95" s="10"/>
      <c r="F95" s="10"/>
      <c r="G95" s="10"/>
      <c r="H95" s="24"/>
      <c r="I95" s="10"/>
      <c r="J95" s="10"/>
    </row>
    <row r="96">
      <c r="A96" s="1"/>
      <c r="B96" s="21"/>
      <c r="C96" s="57"/>
      <c r="D96" s="57"/>
      <c r="E96" s="10"/>
      <c r="F96" s="10"/>
      <c r="G96" s="10"/>
      <c r="H96" s="24"/>
      <c r="I96" s="10"/>
      <c r="J96" s="10"/>
    </row>
    <row r="97">
      <c r="A97" s="1"/>
      <c r="B97" s="21"/>
      <c r="C97" s="57"/>
      <c r="D97" s="57"/>
      <c r="E97" s="10"/>
      <c r="F97" s="10"/>
      <c r="G97" s="10"/>
      <c r="H97" s="24"/>
      <c r="I97" s="10"/>
      <c r="J97" s="10"/>
    </row>
    <row r="98">
      <c r="A98" s="1"/>
      <c r="B98" s="21"/>
      <c r="C98" s="57"/>
      <c r="D98" s="57"/>
      <c r="E98" s="10"/>
      <c r="F98" s="10"/>
      <c r="G98" s="10"/>
      <c r="H98" s="24"/>
      <c r="I98" s="10"/>
      <c r="J98" s="10"/>
    </row>
    <row r="99">
      <c r="A99" s="1"/>
      <c r="B99" s="21"/>
      <c r="C99" s="57"/>
      <c r="D99" s="57"/>
      <c r="E99" s="10"/>
      <c r="F99" s="10"/>
      <c r="G99" s="10"/>
      <c r="H99" s="24"/>
      <c r="I99" s="10"/>
      <c r="J99" s="10"/>
    </row>
    <row r="100">
      <c r="A100" s="1"/>
      <c r="B100" s="21"/>
      <c r="C100" s="57"/>
      <c r="D100" s="57"/>
      <c r="E100" s="35"/>
      <c r="F100" s="36"/>
      <c r="G100" s="10"/>
      <c r="H100" s="24"/>
      <c r="I100" s="10"/>
      <c r="J100" s="10"/>
    </row>
    <row r="101">
      <c r="A101" s="1"/>
      <c r="B101" s="21"/>
      <c r="C101" s="57"/>
      <c r="D101" s="57"/>
      <c r="E101" s="29"/>
      <c r="F101" s="36"/>
      <c r="G101" s="10"/>
      <c r="H101" s="24"/>
      <c r="I101" s="10"/>
      <c r="J101" s="10"/>
    </row>
    <row r="102">
      <c r="A102" s="1"/>
      <c r="B102" s="21"/>
      <c r="C102" s="57"/>
      <c r="D102" s="57"/>
      <c r="E102" s="30"/>
      <c r="F102" s="36"/>
      <c r="G102" s="10"/>
      <c r="H102" s="24"/>
      <c r="I102" s="10"/>
      <c r="J102" s="10"/>
    </row>
    <row r="103">
      <c r="A103" s="1"/>
      <c r="B103" s="21"/>
      <c r="C103" s="57"/>
      <c r="D103" s="57"/>
      <c r="E103" s="10"/>
      <c r="F103" s="36"/>
      <c r="G103" s="10"/>
      <c r="H103" s="10"/>
      <c r="I103" s="10"/>
      <c r="J103" s="37"/>
    </row>
    <row r="104">
      <c r="A104" s="1"/>
      <c r="B104" s="21"/>
      <c r="C104" s="57"/>
      <c r="D104" s="57"/>
      <c r="E104" s="10"/>
      <c r="F104" s="36"/>
      <c r="G104" s="10"/>
      <c r="H104" s="10"/>
      <c r="I104" s="10"/>
      <c r="J104" s="37"/>
    </row>
    <row r="105">
      <c r="A105" s="1"/>
      <c r="B105" s="21"/>
      <c r="C105" s="57"/>
      <c r="D105" s="57"/>
      <c r="E105" s="10"/>
      <c r="F105" s="36"/>
      <c r="G105" s="10"/>
      <c r="H105" s="10"/>
      <c r="I105" s="10"/>
      <c r="J105" s="37"/>
    </row>
    <row r="106">
      <c r="A106" s="1"/>
      <c r="B106" s="21"/>
      <c r="C106" s="57"/>
      <c r="D106" s="57"/>
      <c r="E106" s="10"/>
      <c r="F106" s="10"/>
      <c r="G106" s="10"/>
      <c r="H106" s="10"/>
      <c r="I106" s="10"/>
      <c r="J106" s="37"/>
    </row>
    <row r="107">
      <c r="A107" s="1"/>
      <c r="B107" s="21"/>
      <c r="C107" s="57"/>
      <c r="D107" s="57"/>
      <c r="E107" s="10"/>
      <c r="F107" s="10"/>
      <c r="G107" s="10"/>
      <c r="H107" s="10"/>
      <c r="I107" s="10"/>
      <c r="J107" s="37"/>
    </row>
    <row r="108">
      <c r="A108" s="1"/>
      <c r="B108" s="21"/>
      <c r="C108" s="57"/>
      <c r="D108" s="57"/>
      <c r="E108" s="10"/>
      <c r="F108" s="10"/>
      <c r="G108" s="10"/>
      <c r="H108" s="10"/>
      <c r="I108" s="10"/>
      <c r="J108" s="37"/>
    </row>
    <row r="109">
      <c r="A109" s="1"/>
      <c r="B109" s="21"/>
      <c r="C109" s="57"/>
      <c r="D109" s="57"/>
      <c r="E109" s="10"/>
      <c r="F109" s="10"/>
      <c r="G109" s="10"/>
      <c r="H109" s="10"/>
      <c r="I109" s="10"/>
      <c r="J109" s="37"/>
    </row>
    <row r="110">
      <c r="A110" s="1"/>
      <c r="B110" s="21"/>
      <c r="C110" s="57"/>
      <c r="D110" s="57"/>
      <c r="E110" s="10"/>
      <c r="F110" s="10"/>
      <c r="G110" s="10"/>
      <c r="H110" s="10"/>
      <c r="I110" s="10"/>
      <c r="J110" s="37"/>
    </row>
    <row r="111">
      <c r="A111" s="1"/>
      <c r="B111" s="21"/>
      <c r="C111" s="57"/>
      <c r="D111" s="57"/>
      <c r="E111" s="10"/>
      <c r="F111" s="10"/>
      <c r="G111" s="10"/>
      <c r="H111" s="10"/>
      <c r="I111" s="10"/>
      <c r="J111" s="37"/>
    </row>
    <row r="112">
      <c r="A112" s="1"/>
      <c r="B112" s="21"/>
      <c r="C112" s="57"/>
      <c r="D112" s="57"/>
      <c r="E112" s="10"/>
      <c r="F112" s="10"/>
      <c r="G112" s="10"/>
      <c r="H112" s="10"/>
      <c r="I112" s="10"/>
      <c r="J112" s="37"/>
    </row>
    <row r="113">
      <c r="A113" s="1"/>
      <c r="B113" s="21"/>
      <c r="C113" s="57"/>
      <c r="D113" s="57"/>
      <c r="E113" s="10"/>
      <c r="F113" s="10"/>
      <c r="G113" s="10"/>
      <c r="H113" s="10"/>
      <c r="I113" s="10"/>
      <c r="J113" s="37"/>
    </row>
    <row r="114">
      <c r="A114" s="1"/>
      <c r="B114" s="21"/>
      <c r="C114" s="57"/>
      <c r="D114" s="57"/>
      <c r="E114" s="10"/>
      <c r="F114" s="10"/>
      <c r="G114" s="10"/>
      <c r="H114" s="10"/>
      <c r="I114" s="10"/>
      <c r="J114" s="37"/>
    </row>
    <row r="115">
      <c r="A115" s="38"/>
      <c r="B115" s="39"/>
      <c r="C115" s="57"/>
      <c r="D115" s="57"/>
      <c r="E115" s="34"/>
      <c r="F115" s="34"/>
      <c r="G115" s="34"/>
      <c r="H115" s="34"/>
      <c r="I115" s="34"/>
      <c r="J115" s="40"/>
    </row>
    <row r="116">
      <c r="A116" s="38"/>
      <c r="B116" s="39"/>
      <c r="C116" s="57"/>
      <c r="D116" s="57"/>
      <c r="E116" s="34"/>
      <c r="F116" s="34"/>
      <c r="G116" s="34"/>
      <c r="H116" s="34"/>
      <c r="I116" s="34"/>
      <c r="J116" s="40"/>
    </row>
    <row r="117">
      <c r="A117" s="1"/>
      <c r="B117" s="21"/>
      <c r="C117" s="57"/>
      <c r="D117" s="57"/>
      <c r="E117" s="10"/>
      <c r="F117" s="10"/>
      <c r="G117" s="10"/>
      <c r="H117" s="10"/>
      <c r="I117" s="10"/>
      <c r="J117" s="37"/>
    </row>
    <row r="118">
      <c r="A118" s="1"/>
      <c r="B118" s="21"/>
      <c r="C118" s="57"/>
      <c r="D118" s="57"/>
      <c r="E118" s="10"/>
      <c r="F118" s="10"/>
      <c r="G118" s="10"/>
      <c r="H118" s="10"/>
      <c r="I118" s="10"/>
      <c r="J118" s="37"/>
    </row>
    <row r="119">
      <c r="A119" s="1"/>
      <c r="B119" s="21"/>
      <c r="C119" s="57"/>
      <c r="D119" s="57"/>
      <c r="E119" s="10"/>
      <c r="F119" s="10"/>
      <c r="G119" s="10"/>
      <c r="H119" s="10"/>
      <c r="I119" s="10"/>
      <c r="J119" s="37"/>
    </row>
    <row r="120">
      <c r="A120" s="1"/>
      <c r="B120" s="21"/>
      <c r="C120" s="57"/>
      <c r="D120" s="57"/>
      <c r="E120" s="10"/>
      <c r="F120" s="10"/>
      <c r="G120" s="10"/>
      <c r="H120" s="10"/>
      <c r="I120" s="10"/>
      <c r="J120" s="37"/>
    </row>
    <row r="121">
      <c r="A121" s="1"/>
      <c r="B121" s="21"/>
      <c r="C121" s="57"/>
      <c r="D121" s="57"/>
      <c r="E121" s="10"/>
      <c r="F121" s="10"/>
      <c r="G121" s="10"/>
      <c r="H121" s="10"/>
      <c r="I121" s="10"/>
      <c r="J121" s="37"/>
    </row>
    <row r="122">
      <c r="A122" s="1"/>
      <c r="B122" s="21"/>
      <c r="C122" s="57"/>
      <c r="D122" s="57"/>
      <c r="E122" s="10"/>
      <c r="F122" s="10"/>
      <c r="G122" s="10"/>
      <c r="H122" s="10"/>
      <c r="I122" s="10"/>
      <c r="J122" s="37"/>
    </row>
    <row r="123">
      <c r="A123" s="1"/>
      <c r="B123" s="21"/>
      <c r="C123" s="57"/>
      <c r="D123" s="57"/>
      <c r="E123" s="10"/>
      <c r="F123" s="10"/>
      <c r="G123" s="10"/>
      <c r="H123" s="10"/>
      <c r="I123" s="10"/>
      <c r="J123" s="37"/>
    </row>
    <row r="124">
      <c r="A124" s="1"/>
      <c r="B124" s="21"/>
      <c r="C124" s="57"/>
      <c r="D124" s="57"/>
      <c r="E124" s="10"/>
      <c r="F124" s="10"/>
      <c r="G124" s="10"/>
      <c r="H124" s="10"/>
      <c r="I124" s="10"/>
      <c r="J124" s="37"/>
    </row>
    <row r="125">
      <c r="A125" s="1"/>
      <c r="B125" s="21"/>
      <c r="C125" s="57"/>
      <c r="D125" s="57"/>
      <c r="E125" s="10"/>
      <c r="F125" s="10"/>
      <c r="G125" s="10"/>
      <c r="H125" s="10"/>
      <c r="I125" s="10"/>
      <c r="J125" s="37"/>
    </row>
    <row r="126">
      <c r="A126" s="1"/>
      <c r="B126" s="21"/>
      <c r="C126" s="57"/>
      <c r="D126" s="57"/>
      <c r="E126" s="10"/>
      <c r="F126" s="10"/>
      <c r="G126" s="10"/>
      <c r="H126" s="10"/>
      <c r="I126" s="10"/>
      <c r="J126" s="37"/>
    </row>
    <row r="127">
      <c r="A127" s="1"/>
      <c r="B127" s="21"/>
      <c r="C127" s="57"/>
      <c r="D127" s="57"/>
      <c r="E127" s="10"/>
      <c r="F127" s="10"/>
      <c r="G127" s="10"/>
      <c r="H127" s="10"/>
      <c r="I127" s="10"/>
      <c r="J127" s="37"/>
    </row>
    <row r="128">
      <c r="A128" s="1"/>
      <c r="B128" s="21"/>
      <c r="C128" s="57"/>
      <c r="D128" s="57"/>
      <c r="E128" s="10"/>
      <c r="F128" s="10"/>
      <c r="G128" s="10"/>
      <c r="H128" s="10"/>
      <c r="I128" s="10"/>
      <c r="J128" s="37"/>
    </row>
    <row r="129">
      <c r="A129" s="1"/>
      <c r="B129" s="21"/>
      <c r="C129" s="57"/>
      <c r="D129" s="57"/>
      <c r="E129" s="10"/>
      <c r="F129" s="10"/>
      <c r="G129" s="10"/>
      <c r="H129" s="10"/>
      <c r="I129" s="10"/>
      <c r="J129" s="37"/>
    </row>
    <row r="130">
      <c r="A130" s="1"/>
      <c r="B130" s="21"/>
      <c r="C130" s="57"/>
      <c r="D130" s="57"/>
      <c r="E130" s="10"/>
      <c r="F130" s="10"/>
      <c r="G130" s="10"/>
      <c r="H130" s="10"/>
      <c r="I130" s="10"/>
      <c r="J130" s="37"/>
    </row>
    <row r="131">
      <c r="A131" s="1"/>
      <c r="B131" s="21"/>
      <c r="C131" s="57"/>
      <c r="D131" s="57"/>
      <c r="E131" s="10"/>
      <c r="F131" s="10"/>
      <c r="G131" s="10"/>
      <c r="H131" s="10"/>
      <c r="I131" s="10"/>
      <c r="J131" s="37"/>
    </row>
    <row r="132">
      <c r="A132" s="1"/>
      <c r="B132" s="21"/>
      <c r="C132" s="57"/>
      <c r="D132" s="57"/>
      <c r="E132" s="10"/>
      <c r="F132" s="10"/>
      <c r="G132" s="10"/>
      <c r="H132" s="10"/>
      <c r="I132" s="10"/>
      <c r="J132" s="37"/>
    </row>
    <row r="133">
      <c r="A133" s="1"/>
      <c r="B133" s="21"/>
      <c r="C133" s="57"/>
      <c r="D133" s="57"/>
      <c r="E133" s="10"/>
      <c r="F133" s="10"/>
      <c r="G133" s="10"/>
      <c r="H133" s="10"/>
      <c r="I133" s="10"/>
      <c r="J133" s="37"/>
    </row>
    <row r="134">
      <c r="A134" s="1"/>
      <c r="B134" s="21"/>
      <c r="C134" s="57"/>
      <c r="D134" s="57"/>
      <c r="E134" s="10"/>
      <c r="F134" s="10"/>
      <c r="G134" s="10"/>
      <c r="H134" s="10"/>
      <c r="I134" s="10"/>
      <c r="J134" s="37"/>
    </row>
    <row r="135">
      <c r="A135" s="1"/>
      <c r="B135" s="21"/>
      <c r="C135" s="57"/>
      <c r="D135" s="57"/>
      <c r="E135" s="10"/>
      <c r="F135" s="10"/>
      <c r="G135" s="10"/>
      <c r="H135" s="10"/>
      <c r="I135" s="10"/>
      <c r="J135" s="37"/>
    </row>
    <row r="136">
      <c r="A136" s="1"/>
      <c r="B136" s="21"/>
      <c r="C136" s="57"/>
      <c r="D136" s="57"/>
      <c r="E136" s="10"/>
      <c r="F136" s="10"/>
      <c r="G136" s="10"/>
      <c r="H136" s="10"/>
      <c r="I136" s="10"/>
      <c r="J136" s="37"/>
    </row>
    <row r="137">
      <c r="A137" s="1"/>
      <c r="B137" s="21"/>
      <c r="C137" s="57"/>
      <c r="D137" s="57"/>
      <c r="E137" s="10"/>
      <c r="F137" s="10"/>
      <c r="G137" s="10"/>
      <c r="H137" s="10"/>
      <c r="I137" s="10"/>
      <c r="J137" s="37"/>
    </row>
    <row r="138">
      <c r="A138" s="1"/>
      <c r="B138" s="21"/>
      <c r="C138" s="57"/>
      <c r="D138" s="57"/>
      <c r="E138" s="10"/>
      <c r="F138" s="10"/>
      <c r="G138" s="10"/>
      <c r="H138" s="10"/>
      <c r="I138" s="10"/>
      <c r="J138" s="37"/>
    </row>
    <row r="139">
      <c r="A139" s="1"/>
      <c r="B139" s="21"/>
      <c r="C139" s="57"/>
      <c r="D139" s="57"/>
      <c r="E139" s="10"/>
      <c r="F139" s="10"/>
      <c r="G139" s="10"/>
      <c r="H139" s="10"/>
      <c r="I139" s="10"/>
      <c r="J139" s="37"/>
    </row>
    <row r="140">
      <c r="A140" s="1"/>
      <c r="B140" s="21"/>
      <c r="C140" s="57"/>
      <c r="D140" s="57"/>
      <c r="E140" s="10"/>
      <c r="F140" s="10"/>
      <c r="G140" s="10"/>
      <c r="H140" s="10"/>
      <c r="I140" s="10"/>
      <c r="J140" s="37"/>
    </row>
    <row r="141">
      <c r="A141" s="1"/>
      <c r="B141" s="21"/>
      <c r="C141" s="57"/>
      <c r="D141" s="57"/>
      <c r="E141" s="10"/>
      <c r="F141" s="10"/>
      <c r="G141" s="10"/>
      <c r="H141" s="10"/>
      <c r="I141" s="10"/>
      <c r="J141" s="37"/>
    </row>
    <row r="142">
      <c r="A142" s="1"/>
      <c r="B142" s="21"/>
      <c r="C142" s="57"/>
      <c r="D142" s="57"/>
      <c r="E142" s="10"/>
      <c r="F142" s="10"/>
      <c r="G142" s="10"/>
      <c r="H142" s="10"/>
      <c r="I142" s="10"/>
      <c r="J142" s="37"/>
    </row>
    <row r="143">
      <c r="A143" s="1"/>
      <c r="B143" s="21"/>
      <c r="C143" s="57"/>
      <c r="D143" s="57"/>
      <c r="E143" s="10"/>
      <c r="F143" s="10"/>
      <c r="G143" s="10"/>
      <c r="H143" s="10"/>
      <c r="I143" s="10"/>
      <c r="J143" s="37"/>
    </row>
    <row r="144">
      <c r="A144" s="1"/>
      <c r="B144" s="21"/>
      <c r="C144" s="57"/>
      <c r="D144" s="57"/>
      <c r="E144" s="10"/>
      <c r="F144" s="10"/>
      <c r="G144" s="10"/>
      <c r="H144" s="10"/>
      <c r="I144" s="10"/>
      <c r="J144" s="37"/>
    </row>
    <row r="145">
      <c r="A145" s="1"/>
      <c r="B145" s="21"/>
      <c r="C145" s="57"/>
      <c r="D145" s="57"/>
      <c r="E145" s="10"/>
      <c r="F145" s="10"/>
      <c r="G145" s="10"/>
      <c r="H145" s="10"/>
      <c r="I145" s="10"/>
      <c r="J145" s="37"/>
    </row>
    <row r="146">
      <c r="A146" s="1"/>
      <c r="B146" s="21"/>
      <c r="C146" s="57"/>
      <c r="D146" s="57"/>
      <c r="E146" s="10"/>
      <c r="F146" s="10"/>
      <c r="G146" s="10"/>
      <c r="H146" s="10"/>
      <c r="I146" s="10"/>
      <c r="J146" s="37"/>
    </row>
    <row r="147">
      <c r="A147" s="1"/>
      <c r="B147" s="21"/>
      <c r="C147" s="57"/>
      <c r="D147" s="57"/>
      <c r="E147" s="10"/>
      <c r="F147" s="10"/>
      <c r="G147" s="10"/>
      <c r="H147" s="10"/>
      <c r="I147" s="10"/>
      <c r="J147" s="37"/>
    </row>
    <row r="148">
      <c r="A148" s="38"/>
      <c r="B148" s="39"/>
      <c r="C148" s="57"/>
      <c r="D148" s="57"/>
      <c r="E148" s="34"/>
      <c r="F148" s="34"/>
      <c r="G148" s="34"/>
      <c r="H148" s="34"/>
      <c r="I148" s="34"/>
      <c r="J148" s="40"/>
    </row>
    <row r="149">
      <c r="A149" s="1"/>
      <c r="B149" s="21"/>
      <c r="C149" s="57"/>
      <c r="D149" s="57"/>
      <c r="E149" s="10"/>
      <c r="F149" s="10"/>
      <c r="G149" s="10"/>
      <c r="H149" s="10"/>
      <c r="I149" s="10"/>
      <c r="J149" s="37"/>
    </row>
    <row r="150">
      <c r="A150" s="1"/>
      <c r="B150" s="21"/>
      <c r="C150" s="57"/>
      <c r="D150" s="57"/>
      <c r="E150" s="10"/>
      <c r="F150" s="10"/>
      <c r="G150" s="10"/>
      <c r="H150" s="10"/>
      <c r="I150" s="10"/>
      <c r="J150" s="37"/>
    </row>
    <row r="151">
      <c r="A151" s="1"/>
      <c r="B151" s="21"/>
      <c r="C151" s="57"/>
      <c r="D151" s="57"/>
      <c r="E151" s="10"/>
      <c r="F151" s="10"/>
      <c r="G151" s="10"/>
      <c r="H151" s="10"/>
      <c r="I151" s="10"/>
      <c r="J151" s="37"/>
    </row>
    <row r="152">
      <c r="A152" s="38"/>
      <c r="B152" s="39"/>
      <c r="C152" s="57"/>
      <c r="D152" s="57"/>
      <c r="E152" s="34"/>
      <c r="F152" s="34"/>
      <c r="G152" s="34"/>
      <c r="H152" s="34"/>
      <c r="I152" s="34"/>
      <c r="J152" s="40"/>
    </row>
    <row r="153">
      <c r="A153" s="1"/>
      <c r="B153" s="21"/>
      <c r="C153" s="57"/>
      <c r="D153" s="57"/>
      <c r="E153" s="10"/>
      <c r="F153" s="10"/>
      <c r="G153" s="10"/>
      <c r="H153" s="10"/>
      <c r="I153" s="10"/>
      <c r="J153" s="37"/>
    </row>
    <row r="154">
      <c r="A154" s="1"/>
      <c r="B154" s="21"/>
      <c r="C154" s="57"/>
      <c r="D154" s="57"/>
      <c r="E154" s="10"/>
      <c r="F154" s="10"/>
      <c r="G154" s="10"/>
      <c r="H154" s="10"/>
      <c r="I154" s="10"/>
      <c r="J154" s="37"/>
    </row>
    <row r="155">
      <c r="A155" s="1"/>
      <c r="B155" s="21"/>
      <c r="C155" s="57"/>
      <c r="D155" s="57"/>
      <c r="E155" s="10"/>
      <c r="F155" s="10"/>
      <c r="G155" s="10"/>
      <c r="H155" s="10"/>
      <c r="I155" s="10"/>
      <c r="J155" s="37"/>
    </row>
    <row r="156">
      <c r="A156" s="1"/>
      <c r="B156" s="21"/>
      <c r="C156" s="57"/>
      <c r="D156" s="57"/>
      <c r="E156" s="10"/>
      <c r="F156" s="10"/>
      <c r="G156" s="10"/>
      <c r="H156" s="10"/>
      <c r="I156" s="10"/>
      <c r="J156" s="37"/>
    </row>
    <row r="157">
      <c r="A157" s="1"/>
      <c r="B157" s="21"/>
      <c r="C157" s="57"/>
      <c r="D157" s="57"/>
      <c r="E157" s="10"/>
      <c r="F157" s="10"/>
      <c r="G157" s="10"/>
      <c r="H157" s="10"/>
      <c r="I157" s="10"/>
      <c r="J157" s="37"/>
    </row>
    <row r="158">
      <c r="A158" s="1"/>
      <c r="B158" s="21"/>
      <c r="C158" s="57"/>
      <c r="D158" s="57"/>
      <c r="E158" s="10"/>
      <c r="F158" s="10"/>
      <c r="G158" s="10"/>
      <c r="H158" s="10"/>
      <c r="I158" s="10"/>
      <c r="J158" s="37"/>
    </row>
    <row r="159">
      <c r="A159" s="1"/>
      <c r="B159" s="21"/>
      <c r="C159" s="57"/>
      <c r="D159" s="57"/>
      <c r="E159" s="10"/>
      <c r="F159" s="10"/>
      <c r="G159" s="10"/>
      <c r="H159" s="10"/>
      <c r="I159" s="10"/>
      <c r="J159" s="37"/>
    </row>
    <row r="160">
      <c r="A160" s="38"/>
      <c r="B160" s="39"/>
      <c r="C160" s="57"/>
      <c r="D160" s="57"/>
      <c r="E160" s="34"/>
      <c r="F160" s="34"/>
      <c r="G160" s="34"/>
      <c r="H160" s="34"/>
      <c r="I160" s="34"/>
      <c r="J160" s="40"/>
    </row>
    <row r="161">
      <c r="A161" s="1"/>
      <c r="B161" s="21"/>
      <c r="C161" s="57"/>
      <c r="D161" s="57"/>
      <c r="E161" s="10"/>
      <c r="F161" s="10"/>
      <c r="G161" s="10"/>
      <c r="H161" s="10"/>
      <c r="I161" s="10"/>
      <c r="J161" s="37"/>
    </row>
    <row r="162">
      <c r="A162" s="1"/>
      <c r="B162" s="21"/>
      <c r="C162" s="57"/>
      <c r="D162" s="57"/>
      <c r="E162" s="10"/>
      <c r="F162" s="10"/>
      <c r="G162" s="10"/>
      <c r="H162" s="10"/>
      <c r="I162" s="10"/>
      <c r="J162" s="37"/>
    </row>
    <row r="163">
      <c r="A163" s="1"/>
      <c r="B163" s="21"/>
      <c r="C163" s="57"/>
      <c r="D163" s="57"/>
      <c r="E163" s="10"/>
      <c r="F163" s="10"/>
      <c r="G163" s="10"/>
      <c r="H163" s="10"/>
      <c r="I163" s="10"/>
      <c r="J163" s="37"/>
    </row>
    <row r="164">
      <c r="A164" s="1"/>
      <c r="B164" s="21"/>
      <c r="C164" s="57"/>
      <c r="D164" s="57"/>
      <c r="E164" s="10"/>
      <c r="F164" s="10"/>
      <c r="G164" s="10"/>
      <c r="H164" s="10"/>
      <c r="I164" s="10"/>
      <c r="J164" s="37"/>
    </row>
    <row r="165">
      <c r="A165" s="1"/>
      <c r="B165" s="21"/>
      <c r="C165" s="57"/>
      <c r="D165" s="57"/>
      <c r="E165" s="10"/>
      <c r="F165" s="10"/>
      <c r="G165" s="10"/>
      <c r="H165" s="10"/>
      <c r="I165" s="10"/>
      <c r="J165" s="37"/>
    </row>
    <row r="166">
      <c r="A166" s="1"/>
      <c r="B166" s="21"/>
      <c r="C166" s="57"/>
      <c r="D166" s="57"/>
      <c r="E166" s="10"/>
      <c r="F166" s="10"/>
      <c r="G166" s="10"/>
      <c r="H166" s="10"/>
      <c r="I166" s="10"/>
      <c r="J166" s="37"/>
    </row>
    <row r="167">
      <c r="A167" s="1"/>
      <c r="B167" s="21"/>
      <c r="C167" s="57"/>
      <c r="D167" s="57"/>
      <c r="E167" s="10"/>
      <c r="F167" s="10"/>
      <c r="G167" s="10"/>
      <c r="H167" s="10"/>
      <c r="I167" s="10"/>
      <c r="J167" s="37"/>
    </row>
    <row r="168">
      <c r="A168" s="1"/>
      <c r="B168" s="21"/>
      <c r="C168" s="57"/>
      <c r="D168" s="57"/>
      <c r="E168" s="10"/>
      <c r="F168" s="10"/>
      <c r="G168" s="10"/>
      <c r="H168" s="10"/>
      <c r="I168" s="10"/>
      <c r="J168" s="37"/>
    </row>
    <row r="169">
      <c r="A169" s="1"/>
      <c r="B169" s="21"/>
      <c r="C169" s="57"/>
      <c r="D169" s="57"/>
      <c r="E169" s="10"/>
      <c r="F169" s="10"/>
      <c r="G169" s="10"/>
      <c r="H169" s="10"/>
      <c r="I169" s="10"/>
      <c r="J169" s="37"/>
    </row>
    <row r="170">
      <c r="A170" s="1"/>
      <c r="B170" s="21"/>
      <c r="C170" s="57"/>
      <c r="D170" s="57"/>
      <c r="E170" s="10"/>
      <c r="F170" s="10"/>
      <c r="G170" s="10"/>
      <c r="H170" s="10"/>
      <c r="I170" s="10"/>
      <c r="J170" s="37"/>
    </row>
    <row r="171">
      <c r="A171" s="1"/>
      <c r="B171" s="21"/>
      <c r="C171" s="57"/>
      <c r="D171" s="57"/>
      <c r="E171" s="10"/>
      <c r="F171" s="10"/>
      <c r="G171" s="10"/>
      <c r="H171" s="10"/>
      <c r="I171" s="10"/>
      <c r="J171" s="37"/>
    </row>
    <row r="172">
      <c r="A172" s="1"/>
      <c r="B172" s="21"/>
      <c r="C172" s="57"/>
      <c r="D172" s="57"/>
      <c r="E172" s="10"/>
      <c r="F172" s="10"/>
      <c r="G172" s="10"/>
      <c r="H172" s="10"/>
      <c r="I172" s="10"/>
      <c r="J172" s="37"/>
    </row>
    <row r="173">
      <c r="A173" s="1"/>
      <c r="B173" s="21"/>
      <c r="C173" s="57"/>
      <c r="D173" s="57"/>
      <c r="E173" s="10"/>
      <c r="F173" s="10"/>
      <c r="G173" s="10"/>
      <c r="H173" s="10"/>
      <c r="I173" s="10"/>
      <c r="J173" s="37"/>
    </row>
    <row r="174">
      <c r="A174" s="1"/>
      <c r="B174" s="21"/>
      <c r="C174" s="57"/>
      <c r="D174" s="57"/>
      <c r="E174" s="10"/>
      <c r="F174" s="10"/>
      <c r="G174" s="10"/>
      <c r="H174" s="10"/>
      <c r="I174" s="10"/>
      <c r="J174" s="37"/>
    </row>
    <row r="175">
      <c r="A175" s="1"/>
      <c r="B175" s="21"/>
      <c r="C175" s="57"/>
      <c r="D175" s="57"/>
      <c r="E175" s="10"/>
      <c r="F175" s="10"/>
      <c r="G175" s="10"/>
      <c r="H175" s="10"/>
      <c r="I175" s="10"/>
      <c r="J175" s="37"/>
    </row>
    <row r="176">
      <c r="A176" s="1"/>
      <c r="B176" s="21"/>
      <c r="C176" s="57"/>
      <c r="D176" s="57"/>
      <c r="E176" s="10"/>
      <c r="F176" s="10"/>
      <c r="G176" s="10"/>
      <c r="H176" s="10"/>
      <c r="I176" s="10"/>
      <c r="J176" s="37"/>
    </row>
    <row r="177">
      <c r="A177" s="1"/>
      <c r="B177" s="21"/>
      <c r="C177" s="57"/>
      <c r="D177" s="57"/>
      <c r="E177" s="10"/>
      <c r="F177" s="10"/>
      <c r="G177" s="10"/>
      <c r="H177" s="10"/>
      <c r="I177" s="10"/>
      <c r="J177" s="37"/>
    </row>
    <row r="178">
      <c r="A178" s="1"/>
      <c r="B178" s="21"/>
      <c r="C178" s="57"/>
      <c r="D178" s="57"/>
      <c r="E178" s="10"/>
      <c r="F178" s="10"/>
      <c r="G178" s="10"/>
      <c r="H178" s="10"/>
      <c r="I178" s="10"/>
      <c r="J178" s="37"/>
    </row>
    <row r="179">
      <c r="A179" s="1"/>
      <c r="B179" s="21"/>
      <c r="C179" s="57"/>
      <c r="D179" s="57"/>
      <c r="E179" s="10"/>
      <c r="F179" s="10"/>
      <c r="G179" s="10"/>
      <c r="H179" s="10"/>
      <c r="I179" s="10"/>
      <c r="J179" s="37"/>
    </row>
    <row r="180">
      <c r="A180" s="1"/>
      <c r="B180" s="21"/>
      <c r="C180" s="57"/>
      <c r="D180" s="57"/>
      <c r="E180" s="10"/>
      <c r="F180" s="10"/>
      <c r="G180" s="10"/>
      <c r="H180" s="10"/>
      <c r="I180" s="10"/>
      <c r="J180" s="37"/>
    </row>
    <row r="181">
      <c r="A181" s="1"/>
      <c r="B181" s="21"/>
      <c r="C181" s="57"/>
      <c r="D181" s="57"/>
      <c r="E181" s="10"/>
      <c r="F181" s="10"/>
      <c r="G181" s="10"/>
      <c r="H181" s="10"/>
      <c r="I181" s="10"/>
      <c r="J181" s="37"/>
    </row>
    <row r="182">
      <c r="A182" s="1"/>
      <c r="B182" s="21"/>
      <c r="C182" s="57"/>
      <c r="D182" s="57"/>
      <c r="E182" s="10"/>
      <c r="F182" s="10"/>
      <c r="G182" s="10"/>
      <c r="H182" s="10"/>
      <c r="I182" s="10"/>
      <c r="J182" s="37"/>
    </row>
    <row r="183">
      <c r="A183" s="1"/>
      <c r="B183" s="21"/>
      <c r="C183" s="57"/>
      <c r="D183" s="57"/>
      <c r="E183" s="10"/>
      <c r="F183" s="10"/>
      <c r="G183" s="10"/>
      <c r="H183" s="10"/>
      <c r="I183" s="10"/>
      <c r="J183" s="37"/>
    </row>
    <row r="184">
      <c r="A184" s="1"/>
      <c r="B184" s="21"/>
      <c r="C184" s="57"/>
      <c r="D184" s="57"/>
      <c r="E184" s="10"/>
      <c r="F184" s="10"/>
      <c r="G184" s="10"/>
      <c r="H184" s="10"/>
      <c r="I184" s="10"/>
      <c r="J184" s="37"/>
    </row>
    <row r="185">
      <c r="A185" s="1"/>
      <c r="B185" s="21"/>
      <c r="C185" s="57"/>
      <c r="D185" s="57"/>
      <c r="E185" s="10"/>
      <c r="F185" s="10"/>
      <c r="G185" s="10"/>
      <c r="H185" s="10"/>
      <c r="I185" s="10"/>
      <c r="J185" s="37"/>
    </row>
    <row r="186">
      <c r="A186" s="1"/>
      <c r="B186" s="21"/>
      <c r="C186" s="57"/>
      <c r="D186" s="57"/>
      <c r="E186" s="10"/>
      <c r="F186" s="10"/>
      <c r="G186" s="10"/>
      <c r="H186" s="10"/>
      <c r="I186" s="10"/>
      <c r="J186" s="37"/>
    </row>
    <row r="187">
      <c r="A187" s="1"/>
      <c r="B187" s="21"/>
      <c r="C187" s="57"/>
      <c r="D187" s="57"/>
      <c r="E187" s="10"/>
      <c r="F187" s="10"/>
      <c r="G187" s="10"/>
      <c r="H187" s="10"/>
      <c r="I187" s="10"/>
      <c r="J187" s="37"/>
    </row>
    <row r="188">
      <c r="A188" s="1"/>
      <c r="B188" s="21"/>
      <c r="C188" s="57"/>
      <c r="D188" s="57"/>
      <c r="E188" s="10"/>
      <c r="F188" s="10"/>
      <c r="G188" s="10"/>
      <c r="H188" s="10"/>
      <c r="I188" s="10"/>
      <c r="J188" s="37"/>
    </row>
    <row r="189">
      <c r="A189" s="1"/>
      <c r="B189" s="21"/>
      <c r="C189" s="57"/>
      <c r="D189" s="57"/>
      <c r="E189" s="10"/>
      <c r="F189" s="10"/>
      <c r="G189" s="10"/>
      <c r="H189" s="10"/>
      <c r="I189" s="10"/>
      <c r="J189" s="37"/>
    </row>
    <row r="190">
      <c r="A190" s="1"/>
      <c r="B190" s="21"/>
      <c r="C190" s="57"/>
      <c r="D190" s="57"/>
      <c r="E190" s="10"/>
      <c r="F190" s="10"/>
      <c r="G190" s="10"/>
      <c r="H190" s="10"/>
      <c r="I190" s="10"/>
      <c r="J190" s="37"/>
    </row>
    <row r="191">
      <c r="A191" s="1"/>
      <c r="B191" s="21"/>
      <c r="C191" s="57"/>
      <c r="D191" s="57"/>
      <c r="E191" s="10"/>
      <c r="F191" s="10"/>
      <c r="G191" s="10"/>
      <c r="H191" s="10"/>
      <c r="I191" s="10"/>
      <c r="J191" s="37"/>
    </row>
    <row r="192">
      <c r="A192" s="1"/>
      <c r="B192" s="21"/>
      <c r="C192" s="57"/>
      <c r="D192" s="57"/>
      <c r="E192" s="10"/>
      <c r="F192" s="10"/>
      <c r="G192" s="10"/>
      <c r="H192" s="10"/>
      <c r="I192" s="10"/>
      <c r="J192" s="37"/>
    </row>
    <row r="193">
      <c r="A193" s="1"/>
      <c r="B193" s="21"/>
      <c r="C193" s="57"/>
      <c r="D193" s="57"/>
      <c r="E193" s="10"/>
      <c r="F193" s="10"/>
      <c r="G193" s="10"/>
      <c r="H193" s="10"/>
      <c r="I193" s="10"/>
      <c r="J193" s="37"/>
    </row>
    <row r="194">
      <c r="A194" s="1"/>
      <c r="B194" s="21"/>
      <c r="C194" s="57"/>
      <c r="D194" s="57"/>
      <c r="E194" s="10"/>
      <c r="F194" s="10"/>
      <c r="G194" s="10"/>
      <c r="H194" s="10"/>
      <c r="I194" s="10"/>
      <c r="J194" s="37"/>
    </row>
    <row r="195">
      <c r="A195" s="1"/>
      <c r="B195" s="21"/>
      <c r="C195" s="57"/>
      <c r="D195" s="57"/>
      <c r="E195" s="10"/>
      <c r="F195" s="10"/>
      <c r="G195" s="10"/>
      <c r="H195" s="10"/>
      <c r="I195" s="10"/>
      <c r="J195" s="37"/>
    </row>
    <row r="196">
      <c r="A196" s="1"/>
      <c r="B196" s="21"/>
      <c r="C196" s="57"/>
      <c r="D196" s="57"/>
      <c r="E196" s="10"/>
      <c r="F196" s="10"/>
      <c r="G196" s="10"/>
      <c r="H196" s="10"/>
      <c r="I196" s="10"/>
      <c r="J196" s="37"/>
    </row>
    <row r="197">
      <c r="A197" s="1"/>
      <c r="B197" s="21"/>
      <c r="C197" s="57"/>
      <c r="D197" s="57"/>
      <c r="E197" s="10"/>
      <c r="F197" s="10"/>
      <c r="G197" s="10"/>
      <c r="H197" s="10"/>
      <c r="I197" s="10"/>
      <c r="J197" s="37"/>
    </row>
    <row r="198">
      <c r="A198" s="1"/>
      <c r="B198" s="21"/>
      <c r="C198" s="57"/>
      <c r="D198" s="57"/>
      <c r="E198" s="10"/>
      <c r="F198" s="10"/>
      <c r="G198" s="10"/>
      <c r="H198" s="10"/>
      <c r="I198" s="10"/>
      <c r="J198" s="37"/>
    </row>
    <row r="199">
      <c r="A199" s="1"/>
      <c r="B199" s="21"/>
      <c r="C199" s="57"/>
      <c r="D199" s="57"/>
      <c r="E199" s="10"/>
      <c r="F199" s="10"/>
      <c r="G199" s="10"/>
      <c r="H199" s="10"/>
      <c r="I199" s="10"/>
      <c r="J199" s="37"/>
    </row>
    <row r="200">
      <c r="A200" s="1"/>
      <c r="B200" s="21"/>
      <c r="C200" s="57"/>
      <c r="D200" s="57"/>
      <c r="E200" s="10"/>
      <c r="F200" s="10"/>
      <c r="G200" s="10"/>
      <c r="H200" s="10"/>
      <c r="I200" s="10"/>
      <c r="J200" s="37"/>
    </row>
    <row r="201">
      <c r="A201" s="1"/>
      <c r="B201" s="21"/>
      <c r="C201" s="57"/>
      <c r="D201" s="57"/>
      <c r="E201" s="10"/>
      <c r="F201" s="10"/>
      <c r="G201" s="10"/>
      <c r="H201" s="10"/>
      <c r="I201" s="10"/>
      <c r="J201" s="37"/>
    </row>
    <row r="202">
      <c r="A202" s="1"/>
      <c r="B202" s="21"/>
      <c r="C202" s="57"/>
      <c r="D202" s="57"/>
      <c r="E202" s="10"/>
      <c r="F202" s="10"/>
      <c r="G202" s="10"/>
      <c r="H202" s="10"/>
      <c r="I202" s="10"/>
      <c r="J202" s="37"/>
    </row>
    <row r="203">
      <c r="A203" s="1"/>
      <c r="B203" s="21"/>
      <c r="C203" s="57"/>
      <c r="D203" s="57"/>
      <c r="E203" s="10"/>
      <c r="F203" s="10"/>
      <c r="G203" s="10"/>
      <c r="H203" s="10"/>
      <c r="I203" s="10"/>
      <c r="J203" s="37"/>
    </row>
    <row r="204">
      <c r="A204" s="1"/>
      <c r="B204" s="21"/>
      <c r="C204" s="57"/>
      <c r="D204" s="57"/>
      <c r="E204" s="10"/>
      <c r="F204" s="10"/>
      <c r="G204" s="10"/>
      <c r="H204" s="10"/>
      <c r="I204" s="10"/>
      <c r="J204" s="37"/>
    </row>
    <row r="205">
      <c r="A205" s="1"/>
      <c r="B205" s="21"/>
      <c r="C205" s="57"/>
      <c r="D205" s="57"/>
      <c r="E205" s="10"/>
      <c r="F205" s="10"/>
      <c r="G205" s="10"/>
      <c r="H205" s="10"/>
      <c r="I205" s="10"/>
      <c r="J205" s="37"/>
    </row>
    <row r="206">
      <c r="A206" s="1"/>
      <c r="B206" s="21"/>
      <c r="C206" s="57"/>
      <c r="D206" s="57"/>
      <c r="E206" s="10"/>
      <c r="F206" s="10"/>
      <c r="G206" s="10"/>
      <c r="H206" s="10"/>
      <c r="I206" s="10"/>
      <c r="J206" s="37"/>
    </row>
    <row r="207">
      <c r="A207" s="1"/>
      <c r="B207" s="21"/>
      <c r="C207" s="57"/>
      <c r="D207" s="57"/>
      <c r="E207" s="10"/>
      <c r="F207" s="10"/>
      <c r="G207" s="10"/>
      <c r="H207" s="10"/>
      <c r="I207" s="10"/>
      <c r="J207" s="37"/>
    </row>
    <row r="208">
      <c r="A208" s="1"/>
      <c r="B208" s="21"/>
      <c r="C208" s="57"/>
      <c r="D208" s="57"/>
      <c r="E208" s="10"/>
      <c r="F208" s="10"/>
      <c r="G208" s="10"/>
      <c r="H208" s="10"/>
      <c r="I208" s="10"/>
      <c r="J208" s="37"/>
    </row>
    <row r="209">
      <c r="A209" s="1"/>
      <c r="B209" s="21"/>
      <c r="C209" s="57"/>
      <c r="D209" s="57"/>
      <c r="E209" s="10"/>
      <c r="F209" s="10"/>
      <c r="G209" s="10"/>
      <c r="H209" s="10"/>
      <c r="I209" s="10"/>
      <c r="J209" s="37"/>
    </row>
    <row r="210">
      <c r="A210" s="1"/>
      <c r="B210" s="21"/>
      <c r="C210" s="57"/>
      <c r="D210" s="57"/>
      <c r="E210" s="10"/>
      <c r="F210" s="10"/>
      <c r="G210" s="10"/>
      <c r="H210" s="10"/>
      <c r="I210" s="10"/>
      <c r="J210" s="37"/>
    </row>
    <row r="211">
      <c r="A211" s="1"/>
      <c r="B211" s="21"/>
      <c r="C211" s="57"/>
      <c r="D211" s="57"/>
      <c r="E211" s="10"/>
      <c r="F211" s="10"/>
      <c r="G211" s="10"/>
      <c r="H211" s="10"/>
      <c r="I211" s="10"/>
      <c r="J211" s="37"/>
    </row>
    <row r="212">
      <c r="A212" s="1"/>
      <c r="B212" s="21"/>
      <c r="C212" s="57"/>
      <c r="D212" s="57"/>
      <c r="E212" s="10"/>
      <c r="F212" s="10"/>
      <c r="G212" s="10"/>
      <c r="H212" s="10"/>
      <c r="I212" s="10"/>
      <c r="J212" s="37"/>
    </row>
    <row r="213">
      <c r="A213" s="1"/>
      <c r="B213" s="21"/>
      <c r="C213" s="57"/>
      <c r="D213" s="57"/>
      <c r="E213" s="10"/>
      <c r="F213" s="10"/>
      <c r="G213" s="10"/>
      <c r="H213" s="10"/>
      <c r="I213" s="10"/>
      <c r="J213" s="37"/>
    </row>
    <row r="214">
      <c r="A214" s="1"/>
      <c r="B214" s="21"/>
      <c r="C214" s="57"/>
      <c r="D214" s="57"/>
      <c r="E214" s="10"/>
      <c r="F214" s="10"/>
      <c r="G214" s="10"/>
      <c r="H214" s="10"/>
      <c r="I214" s="10"/>
      <c r="J214" s="37"/>
    </row>
    <row r="215">
      <c r="A215" s="1"/>
      <c r="B215" s="21"/>
      <c r="C215" s="57"/>
      <c r="D215" s="57"/>
      <c r="E215" s="10"/>
      <c r="F215" s="10"/>
      <c r="G215" s="10"/>
      <c r="H215" s="10"/>
      <c r="I215" s="37"/>
      <c r="J215" s="37"/>
    </row>
    <row r="216">
      <c r="A216" s="1"/>
      <c r="B216" s="21"/>
      <c r="C216" s="57"/>
      <c r="D216" s="57"/>
      <c r="E216" s="10"/>
      <c r="F216" s="10"/>
      <c r="G216" s="10"/>
      <c r="H216" s="10"/>
      <c r="I216" s="37"/>
      <c r="J216" s="37"/>
    </row>
    <row r="217">
      <c r="A217" s="1"/>
      <c r="B217" s="21"/>
      <c r="C217" s="58"/>
      <c r="D217" s="58"/>
      <c r="E217" s="10"/>
      <c r="F217" s="10"/>
      <c r="G217" s="10"/>
      <c r="H217" s="10"/>
      <c r="I217" s="37"/>
      <c r="J217" s="37"/>
    </row>
  </sheetData>
  <mergeCells count="8">
    <mergeCell ref="C25:C26"/>
    <mergeCell ref="C27:C31"/>
    <mergeCell ref="C32:C33"/>
    <mergeCell ref="C34:C43"/>
    <mergeCell ref="C44:C47"/>
    <mergeCell ref="C48:C53"/>
    <mergeCell ref="C54:C56"/>
    <mergeCell ref="E100:E102"/>
  </mergeCells>
  <dataValidations>
    <dataValidation type="list" allowBlank="1" sqref="H215:H217">
      <formula1>#REF!</formula1>
    </dataValidation>
    <dataValidation type="list" allowBlank="1" showErrorMessage="1" sqref="I24:I217">
      <formula1>"正常系,異常系"</formula1>
    </dataValidation>
    <dataValidation type="list" allowBlank="1" sqref="H24:H214">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217">
      <formula1>"低,中,高"</formula1>
    </dataValidation>
  </dataValidations>
  <hyperlinks>
    <hyperlink r:id="rId1" ref="B22"/>
    <hyperlink r:id="rId2" ref="G24"/>
    <hyperlink r:id="rId3" ref="G30"/>
    <hyperlink r:id="rId4" ref="G33"/>
    <hyperlink r:id="rId5" ref="G53"/>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COUNTIF(G24:G239,"*")</f>
        <v>54</v>
      </c>
      <c r="J1" s="1"/>
    </row>
    <row r="2">
      <c r="A2" s="1"/>
      <c r="B2" s="4" t="s">
        <v>1</v>
      </c>
      <c r="C2" s="5" t="s">
        <v>401</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COUNTIF($I$24:$I$239,$C6)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COUNTIF($H$24:$H$239,$C10)</f>
        <v>0</v>
      </c>
      <c r="E10" s="12"/>
      <c r="F10" s="44"/>
      <c r="G10" s="1"/>
      <c r="H10" s="1"/>
      <c r="I10" s="1"/>
      <c r="J10" s="1"/>
    </row>
    <row r="11">
      <c r="A11" s="1"/>
      <c r="B11" s="3">
        <v>2.0</v>
      </c>
      <c r="C11" s="10" t="s">
        <v>27</v>
      </c>
      <c r="D11" s="11">
        <f t="shared" si="2"/>
        <v>0</v>
      </c>
      <c r="E11" s="12"/>
      <c r="G11" s="1"/>
      <c r="H11" s="1"/>
      <c r="I11" s="1"/>
      <c r="J11" s="1"/>
    </row>
    <row r="12">
      <c r="A12" s="1"/>
      <c r="B12" s="3">
        <v>3.0</v>
      </c>
      <c r="C12" s="10" t="s">
        <v>28</v>
      </c>
      <c r="D12" s="14">
        <f t="shared" si="2"/>
        <v>0</v>
      </c>
      <c r="E12" s="10" t="s">
        <v>29</v>
      </c>
      <c r="F12" s="43"/>
      <c r="G12" s="1"/>
      <c r="H12" s="1"/>
      <c r="I12" s="1"/>
      <c r="J12" s="1"/>
    </row>
    <row r="13">
      <c r="A13" s="1"/>
      <c r="B13" s="3">
        <v>4.0</v>
      </c>
      <c r="C13" s="10" t="s">
        <v>30</v>
      </c>
      <c r="D13" s="11">
        <f t="shared" si="2"/>
        <v>0</v>
      </c>
      <c r="E13" s="12"/>
      <c r="F13" s="43"/>
      <c r="G13" s="1"/>
      <c r="H13" s="1"/>
      <c r="I13" s="1"/>
      <c r="J13" s="1"/>
    </row>
    <row r="14">
      <c r="A14" s="1"/>
      <c r="B14" s="3">
        <v>5.0</v>
      </c>
      <c r="C14" s="10" t="s">
        <v>31</v>
      </c>
      <c r="D14" s="14">
        <f t="shared" si="2"/>
        <v>0</v>
      </c>
      <c r="E14" s="10" t="s">
        <v>29</v>
      </c>
      <c r="F14" s="43"/>
      <c r="G14" s="1"/>
      <c r="H14" s="1"/>
      <c r="I14" s="1"/>
      <c r="J14" s="1"/>
    </row>
    <row r="15">
      <c r="A15" s="1"/>
      <c r="B15" s="3">
        <v>6.0</v>
      </c>
      <c r="C15" s="10" t="s">
        <v>32</v>
      </c>
      <c r="D15" s="14">
        <f t="shared" si="2"/>
        <v>0</v>
      </c>
      <c r="E15" s="10" t="s">
        <v>29</v>
      </c>
      <c r="F15" s="43"/>
      <c r="G15" s="1"/>
      <c r="H15" s="1"/>
      <c r="I15" s="1"/>
      <c r="J15" s="1"/>
    </row>
    <row r="16">
      <c r="A16" s="1"/>
      <c r="B16" s="3">
        <v>7.0</v>
      </c>
      <c r="C16" s="10" t="s">
        <v>33</v>
      </c>
      <c r="D16" s="11">
        <f t="shared" si="2"/>
        <v>0</v>
      </c>
      <c r="E16" s="12"/>
      <c r="F16" s="43"/>
      <c r="G16" s="1"/>
      <c r="H16" s="1"/>
      <c r="I16" s="1"/>
      <c r="J16" s="1"/>
    </row>
    <row r="17">
      <c r="A17" s="1"/>
      <c r="B17" s="3">
        <v>8.0</v>
      </c>
      <c r="C17" s="10" t="s">
        <v>34</v>
      </c>
      <c r="D17" s="11">
        <f t="shared" si="2"/>
        <v>0</v>
      </c>
      <c r="E17" s="12"/>
      <c r="F17" s="43"/>
      <c r="G17" s="1"/>
      <c r="H17" s="1"/>
      <c r="I17" s="1"/>
      <c r="J17" s="1"/>
    </row>
    <row r="18">
      <c r="A18" s="1"/>
      <c r="B18" s="3">
        <v>9.0</v>
      </c>
      <c r="C18" s="10" t="s">
        <v>35</v>
      </c>
      <c r="D18" s="11">
        <f t="shared" si="2"/>
        <v>0</v>
      </c>
      <c r="E18" s="12"/>
      <c r="F18" s="44"/>
      <c r="G18" s="1"/>
      <c r="H18" s="1"/>
      <c r="I18" s="1"/>
      <c r="J18" s="1"/>
    </row>
    <row r="19">
      <c r="A19" s="1"/>
      <c r="B19" s="1"/>
      <c r="C19" s="1"/>
      <c r="D19" s="1"/>
      <c r="E19" s="1"/>
      <c r="F19" s="44"/>
      <c r="G19" s="1"/>
      <c r="H19" s="1"/>
      <c r="I19" s="1"/>
      <c r="J19" s="15"/>
    </row>
    <row r="20">
      <c r="A20" s="1"/>
      <c r="B20" s="1"/>
      <c r="C20" s="1"/>
      <c r="D20" s="1"/>
      <c r="E20" s="1"/>
      <c r="F20" s="43"/>
      <c r="G20" s="1"/>
      <c r="H20" s="1"/>
      <c r="I20" s="1"/>
      <c r="J20" s="1"/>
    </row>
    <row r="21">
      <c r="A21" s="1"/>
      <c r="B21" s="1"/>
      <c r="C21" s="1"/>
      <c r="D21" s="1"/>
      <c r="E21" s="1"/>
      <c r="F21" s="43"/>
      <c r="G21" s="1"/>
      <c r="H21" s="1"/>
      <c r="I21" s="1"/>
      <c r="J21" s="1"/>
    </row>
    <row r="22">
      <c r="A22" s="1"/>
      <c r="B22" s="16" t="s">
        <v>402</v>
      </c>
      <c r="C22" s="17"/>
      <c r="D22" s="17"/>
      <c r="E22" s="17"/>
      <c r="F22" s="17"/>
      <c r="G22" s="17"/>
      <c r="H22" s="17"/>
      <c r="I22" s="17"/>
      <c r="J22" s="17"/>
    </row>
    <row r="23">
      <c r="A23" s="1"/>
      <c r="B23" s="18" t="s">
        <v>37</v>
      </c>
      <c r="C23" s="20" t="s">
        <v>38</v>
      </c>
      <c r="D23" s="20" t="s">
        <v>39</v>
      </c>
      <c r="E23" s="20" t="s">
        <v>40</v>
      </c>
      <c r="F23" s="20" t="s">
        <v>41</v>
      </c>
      <c r="G23" s="20" t="s">
        <v>42</v>
      </c>
      <c r="H23" s="20" t="s">
        <v>43</v>
      </c>
      <c r="I23" s="20" t="s">
        <v>12</v>
      </c>
      <c r="J23" s="20" t="s">
        <v>44</v>
      </c>
    </row>
    <row r="24">
      <c r="A24" s="1"/>
      <c r="B24" s="21" t="str">
        <f t="shared" ref="B24:B77" si="3">$C$2 &amp; "-" &amp; ROW()-23</f>
        <v>Cart-1</v>
      </c>
      <c r="C24" s="21" t="s">
        <v>195</v>
      </c>
      <c r="D24" s="21" t="s">
        <v>403</v>
      </c>
      <c r="E24" s="21" t="s">
        <v>404</v>
      </c>
      <c r="F24" s="21" t="s">
        <v>405</v>
      </c>
      <c r="G24" s="51" t="s">
        <v>406</v>
      </c>
      <c r="H24" s="24"/>
      <c r="I24" s="10"/>
      <c r="J24" s="10"/>
    </row>
    <row r="25">
      <c r="A25" s="1"/>
      <c r="B25" s="21" t="str">
        <f t="shared" si="3"/>
        <v>Cart-2</v>
      </c>
      <c r="C25" s="59" t="s">
        <v>407</v>
      </c>
      <c r="D25" s="21" t="s">
        <v>201</v>
      </c>
      <c r="E25" s="21" t="s">
        <v>408</v>
      </c>
      <c r="F25" s="21" t="s">
        <v>409</v>
      </c>
      <c r="G25" s="21" t="s">
        <v>204</v>
      </c>
      <c r="H25" s="24"/>
      <c r="I25" s="10"/>
      <c r="J25" s="10"/>
    </row>
    <row r="26">
      <c r="A26" s="1"/>
      <c r="B26" s="21" t="str">
        <f t="shared" si="3"/>
        <v>Cart-3</v>
      </c>
      <c r="C26" s="48"/>
      <c r="D26" s="21" t="s">
        <v>205</v>
      </c>
      <c r="E26" s="21" t="s">
        <v>408</v>
      </c>
      <c r="F26" s="21" t="s">
        <v>206</v>
      </c>
      <c r="G26" s="21" t="s">
        <v>57</v>
      </c>
      <c r="H26" s="24"/>
      <c r="I26" s="10"/>
      <c r="J26" s="10"/>
    </row>
    <row r="27">
      <c r="A27" s="1"/>
      <c r="B27" s="21" t="str">
        <f t="shared" si="3"/>
        <v>Cart-4</v>
      </c>
      <c r="C27" s="47" t="s">
        <v>207</v>
      </c>
      <c r="D27" s="21" t="s">
        <v>208</v>
      </c>
      <c r="E27" s="21" t="s">
        <v>202</v>
      </c>
      <c r="F27" s="21" t="s">
        <v>209</v>
      </c>
      <c r="G27" s="21" t="s">
        <v>210</v>
      </c>
      <c r="H27" s="24"/>
      <c r="I27" s="10"/>
      <c r="J27" s="10"/>
    </row>
    <row r="28">
      <c r="A28" s="1"/>
      <c r="B28" s="21" t="str">
        <f t="shared" si="3"/>
        <v>Cart-5</v>
      </c>
      <c r="C28" s="49"/>
      <c r="D28" s="21" t="s">
        <v>211</v>
      </c>
      <c r="E28" s="21" t="s">
        <v>202</v>
      </c>
      <c r="F28" s="21" t="s">
        <v>212</v>
      </c>
      <c r="G28" s="21" t="s">
        <v>213</v>
      </c>
      <c r="H28" s="24"/>
      <c r="I28" s="10"/>
      <c r="J28" s="10"/>
    </row>
    <row r="29">
      <c r="A29" s="1"/>
      <c r="B29" s="21" t="str">
        <f t="shared" si="3"/>
        <v>Cart-6</v>
      </c>
      <c r="C29" s="49"/>
      <c r="D29" s="21" t="s">
        <v>214</v>
      </c>
      <c r="E29" s="21" t="s">
        <v>215</v>
      </c>
      <c r="F29" s="21" t="s">
        <v>216</v>
      </c>
      <c r="G29" s="21" t="s">
        <v>217</v>
      </c>
      <c r="H29" s="24"/>
      <c r="I29" s="10"/>
      <c r="J29" s="10"/>
    </row>
    <row r="30">
      <c r="A30" s="1"/>
      <c r="B30" s="21" t="str">
        <f t="shared" si="3"/>
        <v>Cart-7</v>
      </c>
      <c r="C30" s="49"/>
      <c r="D30" s="21" t="s">
        <v>218</v>
      </c>
      <c r="E30" s="21" t="s">
        <v>215</v>
      </c>
      <c r="F30" s="50" t="s">
        <v>219</v>
      </c>
      <c r="G30" s="46" t="s">
        <v>410</v>
      </c>
      <c r="H30" s="24"/>
      <c r="I30" s="10"/>
      <c r="J30" s="10"/>
    </row>
    <row r="31">
      <c r="A31" s="1"/>
      <c r="B31" s="21" t="str">
        <f t="shared" si="3"/>
        <v>Cart-8</v>
      </c>
      <c r="C31" s="48"/>
      <c r="D31" s="21" t="s">
        <v>221</v>
      </c>
      <c r="E31" s="21" t="s">
        <v>215</v>
      </c>
      <c r="F31" s="21" t="s">
        <v>222</v>
      </c>
      <c r="G31" s="21" t="s">
        <v>223</v>
      </c>
      <c r="H31" s="24"/>
      <c r="I31" s="10"/>
      <c r="J31" s="10"/>
    </row>
    <row r="32">
      <c r="A32" s="1"/>
      <c r="B32" s="21" t="str">
        <f t="shared" si="3"/>
        <v>Cart-9</v>
      </c>
      <c r="C32" s="47" t="s">
        <v>411</v>
      </c>
      <c r="D32" s="21" t="s">
        <v>208</v>
      </c>
      <c r="E32" s="21" t="s">
        <v>408</v>
      </c>
      <c r="F32" s="21" t="s">
        <v>209</v>
      </c>
      <c r="G32" s="21" t="s">
        <v>210</v>
      </c>
      <c r="H32" s="24"/>
      <c r="I32" s="10"/>
      <c r="J32" s="10"/>
    </row>
    <row r="33">
      <c r="A33" s="1"/>
      <c r="B33" s="21" t="str">
        <f t="shared" si="3"/>
        <v>Cart-10</v>
      </c>
      <c r="C33" s="49"/>
      <c r="D33" s="21" t="s">
        <v>211</v>
      </c>
      <c r="E33" s="21" t="s">
        <v>408</v>
      </c>
      <c r="F33" s="21" t="s">
        <v>212</v>
      </c>
      <c r="G33" s="21" t="s">
        <v>213</v>
      </c>
      <c r="H33" s="24"/>
      <c r="I33" s="10"/>
      <c r="J33" s="10"/>
    </row>
    <row r="34">
      <c r="A34" s="1"/>
      <c r="B34" s="21" t="str">
        <f t="shared" si="3"/>
        <v>Cart-11</v>
      </c>
      <c r="C34" s="49"/>
      <c r="D34" s="21" t="s">
        <v>214</v>
      </c>
      <c r="E34" s="21" t="s">
        <v>215</v>
      </c>
      <c r="F34" s="21" t="s">
        <v>216</v>
      </c>
      <c r="G34" s="21" t="s">
        <v>217</v>
      </c>
      <c r="H34" s="24"/>
      <c r="I34" s="10"/>
      <c r="J34" s="10"/>
    </row>
    <row r="35">
      <c r="A35" s="1"/>
      <c r="B35" s="21" t="str">
        <f t="shared" si="3"/>
        <v>Cart-12</v>
      </c>
      <c r="C35" s="49"/>
      <c r="D35" s="21" t="s">
        <v>412</v>
      </c>
      <c r="E35" s="21" t="s">
        <v>215</v>
      </c>
      <c r="F35" s="21" t="s">
        <v>413</v>
      </c>
      <c r="G35" s="51" t="s">
        <v>414</v>
      </c>
      <c r="H35" s="24"/>
      <c r="I35" s="10"/>
      <c r="J35" s="10"/>
    </row>
    <row r="36">
      <c r="A36" s="1"/>
      <c r="B36" s="21" t="str">
        <f t="shared" si="3"/>
        <v>Cart-13</v>
      </c>
      <c r="C36" s="49"/>
      <c r="D36" s="21" t="s">
        <v>218</v>
      </c>
      <c r="E36" s="21" t="s">
        <v>215</v>
      </c>
      <c r="F36" s="21" t="s">
        <v>415</v>
      </c>
      <c r="G36" s="51" t="s">
        <v>416</v>
      </c>
      <c r="H36" s="24"/>
      <c r="I36" s="10"/>
      <c r="J36" s="10"/>
    </row>
    <row r="37">
      <c r="A37" s="1"/>
      <c r="B37" s="21" t="str">
        <f t="shared" si="3"/>
        <v>Cart-14</v>
      </c>
      <c r="C37" s="48"/>
      <c r="D37" s="21" t="s">
        <v>221</v>
      </c>
      <c r="E37" s="21" t="s">
        <v>215</v>
      </c>
      <c r="F37" s="21" t="s">
        <v>222</v>
      </c>
      <c r="G37" s="21" t="s">
        <v>223</v>
      </c>
      <c r="H37" s="24"/>
      <c r="I37" s="10"/>
      <c r="J37" s="10"/>
    </row>
    <row r="38">
      <c r="A38" s="1"/>
      <c r="B38" s="21" t="str">
        <f t="shared" si="3"/>
        <v>Cart-15</v>
      </c>
      <c r="C38" s="47" t="s">
        <v>50</v>
      </c>
      <c r="D38" s="21" t="s">
        <v>417</v>
      </c>
      <c r="E38" s="21" t="s">
        <v>408</v>
      </c>
      <c r="F38" s="21" t="s">
        <v>418</v>
      </c>
      <c r="G38" s="21" t="s">
        <v>419</v>
      </c>
      <c r="H38" s="24"/>
      <c r="I38" s="10"/>
      <c r="J38" s="10"/>
    </row>
    <row r="39">
      <c r="A39" s="1"/>
      <c r="B39" s="21" t="str">
        <f t="shared" si="3"/>
        <v>Cart-16</v>
      </c>
      <c r="C39" s="48"/>
      <c r="D39" s="21" t="s">
        <v>420</v>
      </c>
      <c r="E39" s="21" t="s">
        <v>408</v>
      </c>
      <c r="F39" s="21" t="s">
        <v>421</v>
      </c>
      <c r="G39" s="21" t="s">
        <v>230</v>
      </c>
      <c r="H39" s="24"/>
      <c r="I39" s="10"/>
      <c r="J39" s="10"/>
    </row>
    <row r="40">
      <c r="A40" s="1"/>
      <c r="B40" s="21" t="str">
        <f t="shared" si="3"/>
        <v>Cart-17</v>
      </c>
      <c r="C40" s="47" t="s">
        <v>422</v>
      </c>
      <c r="D40" s="21" t="s">
        <v>423</v>
      </c>
      <c r="E40" s="21" t="s">
        <v>408</v>
      </c>
      <c r="F40" s="21" t="s">
        <v>424</v>
      </c>
      <c r="G40" s="21" t="s">
        <v>425</v>
      </c>
      <c r="H40" s="24"/>
      <c r="I40" s="10"/>
      <c r="J40" s="10"/>
    </row>
    <row r="41">
      <c r="A41" s="1"/>
      <c r="B41" s="21" t="str">
        <f t="shared" si="3"/>
        <v>Cart-18</v>
      </c>
      <c r="C41" s="49"/>
      <c r="D41" s="21" t="s">
        <v>426</v>
      </c>
      <c r="E41" s="21" t="s">
        <v>408</v>
      </c>
      <c r="F41" s="21" t="s">
        <v>427</v>
      </c>
      <c r="G41" s="21" t="s">
        <v>230</v>
      </c>
      <c r="H41" s="24"/>
      <c r="I41" s="10"/>
      <c r="J41" s="10"/>
    </row>
    <row r="42">
      <c r="A42" s="1"/>
      <c r="B42" s="21" t="str">
        <f t="shared" si="3"/>
        <v>Cart-19</v>
      </c>
      <c r="C42" s="49"/>
      <c r="D42" s="21" t="s">
        <v>428</v>
      </c>
      <c r="E42" s="21" t="s">
        <v>408</v>
      </c>
      <c r="F42" s="21" t="s">
        <v>429</v>
      </c>
      <c r="G42" s="21" t="s">
        <v>430</v>
      </c>
      <c r="H42" s="24"/>
      <c r="I42" s="10"/>
      <c r="J42" s="10"/>
    </row>
    <row r="43">
      <c r="A43" s="1"/>
      <c r="B43" s="21" t="str">
        <f t="shared" si="3"/>
        <v>Cart-20</v>
      </c>
      <c r="C43" s="48"/>
      <c r="D43" s="21" t="s">
        <v>431</v>
      </c>
      <c r="E43" s="21" t="s">
        <v>408</v>
      </c>
      <c r="F43" s="21" t="s">
        <v>432</v>
      </c>
      <c r="G43" s="21" t="s">
        <v>230</v>
      </c>
      <c r="H43" s="24"/>
      <c r="I43" s="10"/>
      <c r="J43" s="10"/>
    </row>
    <row r="44">
      <c r="A44" s="1"/>
      <c r="B44" s="21" t="str">
        <f t="shared" si="3"/>
        <v>Cart-21</v>
      </c>
      <c r="C44" s="47" t="s">
        <v>231</v>
      </c>
      <c r="D44" s="21" t="s">
        <v>433</v>
      </c>
      <c r="E44" s="21" t="s">
        <v>391</v>
      </c>
      <c r="F44" s="21" t="s">
        <v>408</v>
      </c>
      <c r="G44" s="21" t="s">
        <v>434</v>
      </c>
      <c r="H44" s="24"/>
      <c r="I44" s="10"/>
      <c r="J44" s="10"/>
    </row>
    <row r="45">
      <c r="A45" s="1"/>
      <c r="B45" s="21" t="str">
        <f t="shared" si="3"/>
        <v>Cart-22</v>
      </c>
      <c r="C45" s="49"/>
      <c r="D45" s="21" t="s">
        <v>435</v>
      </c>
      <c r="E45" s="21" t="s">
        <v>436</v>
      </c>
      <c r="F45" s="21" t="s">
        <v>408</v>
      </c>
      <c r="G45" s="21" t="s">
        <v>437</v>
      </c>
      <c r="H45" s="24"/>
      <c r="I45" s="10"/>
      <c r="J45" s="10"/>
    </row>
    <row r="46">
      <c r="A46" s="1"/>
      <c r="B46" s="21" t="str">
        <f t="shared" si="3"/>
        <v>Cart-23</v>
      </c>
      <c r="C46" s="49"/>
      <c r="D46" s="21" t="s">
        <v>235</v>
      </c>
      <c r="E46" s="21" t="s">
        <v>384</v>
      </c>
      <c r="F46" s="21" t="s">
        <v>438</v>
      </c>
      <c r="G46" s="21" t="s">
        <v>237</v>
      </c>
      <c r="H46" s="24"/>
      <c r="I46" s="10"/>
      <c r="J46" s="10"/>
    </row>
    <row r="47">
      <c r="A47" s="1"/>
      <c r="B47" s="21" t="str">
        <f t="shared" si="3"/>
        <v>Cart-24</v>
      </c>
      <c r="C47" s="49"/>
      <c r="D47" s="21" t="s">
        <v>241</v>
      </c>
      <c r="E47" s="21" t="s">
        <v>384</v>
      </c>
      <c r="F47" s="21" t="s">
        <v>439</v>
      </c>
      <c r="G47" s="21" t="s">
        <v>243</v>
      </c>
      <c r="H47" s="24"/>
      <c r="I47" s="10"/>
      <c r="J47" s="10"/>
    </row>
    <row r="48">
      <c r="A48" s="1"/>
      <c r="B48" s="21" t="str">
        <f t="shared" si="3"/>
        <v>Cart-25</v>
      </c>
      <c r="C48" s="49"/>
      <c r="D48" s="21" t="s">
        <v>244</v>
      </c>
      <c r="E48" s="21" t="s">
        <v>384</v>
      </c>
      <c r="F48" s="21" t="s">
        <v>440</v>
      </c>
      <c r="G48" s="21" t="s">
        <v>246</v>
      </c>
      <c r="H48" s="24"/>
      <c r="I48" s="10"/>
      <c r="J48" s="10"/>
    </row>
    <row r="49">
      <c r="A49" s="1"/>
      <c r="B49" s="21" t="str">
        <f t="shared" si="3"/>
        <v>Cart-26</v>
      </c>
      <c r="C49" s="48"/>
      <c r="D49" s="21" t="s">
        <v>441</v>
      </c>
      <c r="E49" s="21" t="s">
        <v>384</v>
      </c>
      <c r="F49" s="21" t="s">
        <v>442</v>
      </c>
      <c r="G49" s="21" t="s">
        <v>443</v>
      </c>
      <c r="H49" s="24"/>
      <c r="I49" s="10"/>
      <c r="J49" s="10"/>
    </row>
    <row r="50">
      <c r="A50" s="1"/>
      <c r="B50" s="21" t="str">
        <f t="shared" si="3"/>
        <v>Cart-27</v>
      </c>
      <c r="C50" s="47" t="s">
        <v>231</v>
      </c>
      <c r="D50" s="21" t="s">
        <v>444</v>
      </c>
      <c r="E50" s="21" t="s">
        <v>445</v>
      </c>
      <c r="F50" s="21" t="s">
        <v>446</v>
      </c>
      <c r="G50" s="21" t="s">
        <v>447</v>
      </c>
      <c r="H50" s="24"/>
      <c r="I50" s="10"/>
      <c r="J50" s="10"/>
    </row>
    <row r="51">
      <c r="A51" s="1"/>
      <c r="B51" s="21" t="str">
        <f t="shared" si="3"/>
        <v>Cart-28</v>
      </c>
      <c r="C51" s="49"/>
      <c r="D51" s="21" t="s">
        <v>448</v>
      </c>
      <c r="E51" s="21" t="s">
        <v>449</v>
      </c>
      <c r="F51" s="21" t="s">
        <v>450</v>
      </c>
      <c r="G51" s="21" t="s">
        <v>451</v>
      </c>
      <c r="H51" s="24"/>
      <c r="I51" s="10"/>
      <c r="J51" s="10"/>
    </row>
    <row r="52">
      <c r="A52" s="1"/>
      <c r="B52" s="21" t="str">
        <f t="shared" si="3"/>
        <v>Cart-29</v>
      </c>
      <c r="C52" s="48"/>
      <c r="D52" s="21" t="s">
        <v>375</v>
      </c>
      <c r="E52" s="21" t="s">
        <v>384</v>
      </c>
      <c r="F52" s="21" t="s">
        <v>452</v>
      </c>
      <c r="G52" s="21" t="s">
        <v>377</v>
      </c>
      <c r="H52" s="24"/>
      <c r="I52" s="10"/>
      <c r="J52" s="10"/>
    </row>
    <row r="53">
      <c r="A53" s="1"/>
      <c r="B53" s="21" t="str">
        <f t="shared" si="3"/>
        <v>Cart-30</v>
      </c>
      <c r="C53" s="47" t="s">
        <v>453</v>
      </c>
      <c r="D53" s="21" t="s">
        <v>454</v>
      </c>
      <c r="E53" s="21" t="s">
        <v>384</v>
      </c>
      <c r="F53" s="21" t="s">
        <v>455</v>
      </c>
      <c r="G53" s="21" t="s">
        <v>456</v>
      </c>
      <c r="H53" s="24"/>
      <c r="I53" s="10"/>
      <c r="J53" s="10"/>
    </row>
    <row r="54">
      <c r="A54" s="1"/>
      <c r="B54" s="21" t="str">
        <f t="shared" si="3"/>
        <v>Cart-31</v>
      </c>
      <c r="C54" s="49"/>
      <c r="D54" s="21" t="s">
        <v>260</v>
      </c>
      <c r="E54" s="21" t="s">
        <v>384</v>
      </c>
      <c r="F54" s="21" t="s">
        <v>457</v>
      </c>
      <c r="G54" s="21" t="s">
        <v>458</v>
      </c>
      <c r="H54" s="24"/>
      <c r="I54" s="10"/>
      <c r="J54" s="10"/>
    </row>
    <row r="55">
      <c r="A55" s="1"/>
      <c r="B55" s="21" t="str">
        <f t="shared" si="3"/>
        <v>Cart-32</v>
      </c>
      <c r="C55" s="49"/>
      <c r="D55" s="21" t="s">
        <v>255</v>
      </c>
      <c r="E55" s="21" t="s">
        <v>384</v>
      </c>
      <c r="F55" s="21" t="s">
        <v>256</v>
      </c>
      <c r="G55" s="21" t="s">
        <v>230</v>
      </c>
      <c r="H55" s="24"/>
      <c r="I55" s="10"/>
      <c r="J55" s="10"/>
    </row>
    <row r="56">
      <c r="A56" s="1"/>
      <c r="B56" s="21" t="str">
        <f t="shared" si="3"/>
        <v>Cart-33</v>
      </c>
      <c r="C56" s="49"/>
      <c r="D56" s="21" t="s">
        <v>257</v>
      </c>
      <c r="E56" s="21" t="s">
        <v>384</v>
      </c>
      <c r="F56" s="21" t="s">
        <v>258</v>
      </c>
      <c r="G56" s="21" t="s">
        <v>230</v>
      </c>
      <c r="H56" s="24"/>
      <c r="I56" s="10"/>
      <c r="J56" s="10"/>
    </row>
    <row r="57">
      <c r="A57" s="1"/>
      <c r="B57" s="21" t="str">
        <f t="shared" si="3"/>
        <v>Cart-34</v>
      </c>
      <c r="C57" s="48"/>
      <c r="D57" s="21" t="s">
        <v>459</v>
      </c>
      <c r="E57" s="21" t="s">
        <v>384</v>
      </c>
      <c r="F57" s="21" t="s">
        <v>460</v>
      </c>
      <c r="G57" s="21" t="s">
        <v>230</v>
      </c>
      <c r="H57" s="24"/>
      <c r="I57" s="10"/>
      <c r="J57" s="10"/>
    </row>
    <row r="58">
      <c r="A58" s="1"/>
      <c r="B58" s="21" t="str">
        <f t="shared" si="3"/>
        <v>Cart-35</v>
      </c>
      <c r="C58" s="47" t="s">
        <v>461</v>
      </c>
      <c r="D58" s="21" t="s">
        <v>462</v>
      </c>
      <c r="E58" s="21" t="s">
        <v>384</v>
      </c>
      <c r="F58" s="21" t="s">
        <v>452</v>
      </c>
      <c r="G58" s="21" t="s">
        <v>463</v>
      </c>
      <c r="H58" s="24"/>
      <c r="I58" s="10"/>
      <c r="J58" s="10"/>
    </row>
    <row r="59">
      <c r="A59" s="1"/>
      <c r="B59" s="21" t="str">
        <f t="shared" si="3"/>
        <v>Cart-36</v>
      </c>
      <c r="C59" s="49"/>
      <c r="D59" s="21" t="s">
        <v>276</v>
      </c>
      <c r="E59" s="21" t="s">
        <v>384</v>
      </c>
      <c r="F59" s="21" t="s">
        <v>464</v>
      </c>
      <c r="G59" s="21" t="s">
        <v>465</v>
      </c>
      <c r="H59" s="24"/>
      <c r="I59" s="10"/>
      <c r="J59" s="10"/>
    </row>
    <row r="60">
      <c r="A60" s="1"/>
      <c r="B60" s="21" t="str">
        <f t="shared" si="3"/>
        <v>Cart-37</v>
      </c>
      <c r="C60" s="49"/>
      <c r="D60" s="21" t="s">
        <v>466</v>
      </c>
      <c r="E60" s="21" t="s">
        <v>384</v>
      </c>
      <c r="F60" s="21" t="s">
        <v>464</v>
      </c>
      <c r="G60" s="21" t="s">
        <v>467</v>
      </c>
      <c r="H60" s="24"/>
      <c r="I60" s="10"/>
      <c r="J60" s="10"/>
    </row>
    <row r="61">
      <c r="A61" s="1"/>
      <c r="B61" s="21" t="str">
        <f t="shared" si="3"/>
        <v>Cart-38</v>
      </c>
      <c r="C61" s="49"/>
      <c r="D61" s="21" t="s">
        <v>269</v>
      </c>
      <c r="E61" s="21" t="s">
        <v>384</v>
      </c>
      <c r="F61" s="21" t="s">
        <v>464</v>
      </c>
      <c r="G61" s="21" t="s">
        <v>468</v>
      </c>
      <c r="H61" s="24"/>
      <c r="I61" s="10"/>
      <c r="J61" s="10"/>
    </row>
    <row r="62">
      <c r="A62" s="1"/>
      <c r="B62" s="21" t="str">
        <f t="shared" si="3"/>
        <v>Cart-39</v>
      </c>
      <c r="C62" s="49"/>
      <c r="D62" s="21" t="s">
        <v>469</v>
      </c>
      <c r="E62" s="21" t="s">
        <v>470</v>
      </c>
      <c r="F62" s="21" t="s">
        <v>464</v>
      </c>
      <c r="G62" s="21" t="s">
        <v>471</v>
      </c>
      <c r="H62" s="24"/>
      <c r="I62" s="10"/>
      <c r="J62" s="10"/>
    </row>
    <row r="63">
      <c r="A63" s="1"/>
      <c r="B63" s="21" t="str">
        <f t="shared" si="3"/>
        <v>Cart-40</v>
      </c>
      <c r="C63" s="49"/>
      <c r="D63" s="21" t="s">
        <v>472</v>
      </c>
      <c r="E63" s="21" t="s">
        <v>473</v>
      </c>
      <c r="F63" s="21" t="s">
        <v>464</v>
      </c>
      <c r="G63" s="21" t="s">
        <v>474</v>
      </c>
      <c r="H63" s="24"/>
      <c r="I63" s="10"/>
      <c r="J63" s="10"/>
    </row>
    <row r="64">
      <c r="A64" s="1"/>
      <c r="B64" s="21" t="str">
        <f t="shared" si="3"/>
        <v>Cart-41</v>
      </c>
      <c r="C64" s="48"/>
      <c r="D64" s="21" t="s">
        <v>475</v>
      </c>
      <c r="E64" s="21" t="s">
        <v>476</v>
      </c>
      <c r="F64" s="21" t="s">
        <v>477</v>
      </c>
      <c r="G64" s="51" t="s">
        <v>478</v>
      </c>
      <c r="H64" s="24"/>
      <c r="I64" s="10"/>
      <c r="J64" s="10"/>
    </row>
    <row r="65">
      <c r="A65" s="1"/>
      <c r="B65" s="21" t="str">
        <f t="shared" si="3"/>
        <v>Cart-42</v>
      </c>
      <c r="C65" s="47" t="s">
        <v>265</v>
      </c>
      <c r="D65" s="21" t="s">
        <v>325</v>
      </c>
      <c r="E65" s="21" t="s">
        <v>408</v>
      </c>
      <c r="F65" s="21" t="s">
        <v>271</v>
      </c>
      <c r="G65" s="21" t="s">
        <v>327</v>
      </c>
      <c r="H65" s="24"/>
      <c r="I65" s="10"/>
      <c r="J65" s="10"/>
    </row>
    <row r="66">
      <c r="A66" s="1"/>
      <c r="B66" s="21" t="str">
        <f t="shared" si="3"/>
        <v>Cart-43</v>
      </c>
      <c r="C66" s="49"/>
      <c r="D66" s="21" t="s">
        <v>328</v>
      </c>
      <c r="E66" s="21" t="s">
        <v>436</v>
      </c>
      <c r="F66" s="21" t="s">
        <v>271</v>
      </c>
      <c r="G66" s="21" t="s">
        <v>479</v>
      </c>
      <c r="H66" s="24"/>
      <c r="I66" s="10"/>
      <c r="J66" s="10"/>
    </row>
    <row r="67">
      <c r="A67" s="1"/>
      <c r="B67" s="21" t="str">
        <f t="shared" si="3"/>
        <v>Cart-44</v>
      </c>
      <c r="C67" s="49"/>
      <c r="D67" s="21" t="s">
        <v>331</v>
      </c>
      <c r="E67" s="21" t="s">
        <v>384</v>
      </c>
      <c r="F67" s="21" t="s">
        <v>271</v>
      </c>
      <c r="G67" s="21" t="s">
        <v>480</v>
      </c>
      <c r="H67" s="24"/>
      <c r="I67" s="10"/>
      <c r="J67" s="10"/>
    </row>
    <row r="68">
      <c r="A68" s="1"/>
      <c r="B68" s="21" t="str">
        <f t="shared" si="3"/>
        <v>Cart-45</v>
      </c>
      <c r="C68" s="48"/>
      <c r="D68" s="21" t="s">
        <v>342</v>
      </c>
      <c r="E68" s="21" t="s">
        <v>408</v>
      </c>
      <c r="F68" s="21" t="s">
        <v>405</v>
      </c>
      <c r="G68" s="21" t="s">
        <v>481</v>
      </c>
      <c r="H68" s="24"/>
      <c r="I68" s="10"/>
      <c r="J68" s="10"/>
    </row>
    <row r="69">
      <c r="A69" s="1"/>
      <c r="B69" s="21" t="str">
        <f t="shared" si="3"/>
        <v>Cart-46</v>
      </c>
      <c r="C69" s="47" t="s">
        <v>482</v>
      </c>
      <c r="D69" s="21" t="s">
        <v>483</v>
      </c>
      <c r="E69" s="21" t="s">
        <v>408</v>
      </c>
      <c r="F69" s="21" t="s">
        <v>484</v>
      </c>
      <c r="G69" s="21" t="s">
        <v>485</v>
      </c>
      <c r="H69" s="24"/>
      <c r="I69" s="10"/>
      <c r="J69" s="10"/>
    </row>
    <row r="70">
      <c r="A70" s="1"/>
      <c r="B70" s="21" t="str">
        <f t="shared" si="3"/>
        <v>Cart-47</v>
      </c>
      <c r="C70" s="49"/>
      <c r="D70" s="21" t="s">
        <v>486</v>
      </c>
      <c r="E70" s="21" t="s">
        <v>408</v>
      </c>
      <c r="F70" s="21" t="s">
        <v>487</v>
      </c>
      <c r="G70" s="51" t="s">
        <v>488</v>
      </c>
      <c r="H70" s="24"/>
      <c r="I70" s="10"/>
      <c r="J70" s="10"/>
    </row>
    <row r="71">
      <c r="A71" s="1"/>
      <c r="B71" s="21" t="str">
        <f t="shared" si="3"/>
        <v>Cart-48</v>
      </c>
      <c r="C71" s="48"/>
      <c r="D71" s="21" t="s">
        <v>489</v>
      </c>
      <c r="E71" s="21" t="s">
        <v>476</v>
      </c>
      <c r="F71" s="21" t="s">
        <v>490</v>
      </c>
      <c r="G71" s="21" t="s">
        <v>491</v>
      </c>
      <c r="H71" s="24"/>
      <c r="I71" s="10"/>
      <c r="J71" s="10"/>
    </row>
    <row r="72">
      <c r="A72" s="1"/>
      <c r="B72" s="21" t="str">
        <f t="shared" si="3"/>
        <v>Cart-49</v>
      </c>
      <c r="C72" s="47" t="s">
        <v>492</v>
      </c>
      <c r="D72" s="21" t="s">
        <v>483</v>
      </c>
      <c r="E72" s="21" t="s">
        <v>408</v>
      </c>
      <c r="F72" s="21" t="s">
        <v>493</v>
      </c>
      <c r="G72" s="21" t="s">
        <v>494</v>
      </c>
      <c r="H72" s="24"/>
      <c r="I72" s="10"/>
      <c r="J72" s="10"/>
    </row>
    <row r="73">
      <c r="A73" s="1"/>
      <c r="B73" s="21" t="str">
        <f t="shared" si="3"/>
        <v>Cart-50</v>
      </c>
      <c r="C73" s="49"/>
      <c r="D73" s="21" t="s">
        <v>495</v>
      </c>
      <c r="E73" s="21" t="s">
        <v>384</v>
      </c>
      <c r="F73" s="21" t="s">
        <v>496</v>
      </c>
      <c r="G73" s="51" t="s">
        <v>497</v>
      </c>
      <c r="H73" s="24"/>
      <c r="I73" s="10"/>
      <c r="J73" s="10"/>
    </row>
    <row r="74">
      <c r="A74" s="1"/>
      <c r="B74" s="21" t="str">
        <f t="shared" si="3"/>
        <v>Cart-51</v>
      </c>
      <c r="C74" s="48"/>
      <c r="D74" s="21" t="s">
        <v>498</v>
      </c>
      <c r="E74" s="21" t="s">
        <v>389</v>
      </c>
      <c r="F74" s="21" t="s">
        <v>496</v>
      </c>
      <c r="G74" s="21" t="s">
        <v>499</v>
      </c>
      <c r="H74" s="24"/>
      <c r="I74" s="10"/>
      <c r="J74" s="10"/>
    </row>
    <row r="75">
      <c r="A75" s="1"/>
      <c r="B75" s="21" t="str">
        <f t="shared" si="3"/>
        <v>Cart-52</v>
      </c>
      <c r="C75" s="47" t="s">
        <v>292</v>
      </c>
      <c r="D75" s="21" t="s">
        <v>293</v>
      </c>
      <c r="E75" s="21" t="s">
        <v>408</v>
      </c>
      <c r="F75" s="21" t="s">
        <v>297</v>
      </c>
      <c r="G75" s="21" t="s">
        <v>295</v>
      </c>
      <c r="H75" s="24"/>
      <c r="I75" s="10"/>
      <c r="J75" s="10"/>
    </row>
    <row r="76">
      <c r="A76" s="1"/>
      <c r="B76" s="21" t="str">
        <f t="shared" si="3"/>
        <v>Cart-53</v>
      </c>
      <c r="C76" s="49"/>
      <c r="D76" s="21" t="s">
        <v>296</v>
      </c>
      <c r="E76" s="21" t="s">
        <v>297</v>
      </c>
      <c r="F76" s="21" t="s">
        <v>298</v>
      </c>
      <c r="G76" s="21" t="s">
        <v>500</v>
      </c>
      <c r="H76" s="24"/>
      <c r="I76" s="10"/>
      <c r="J76" s="10"/>
    </row>
    <row r="77">
      <c r="A77" s="1"/>
      <c r="B77" s="21" t="str">
        <f t="shared" si="3"/>
        <v>Cart-54</v>
      </c>
      <c r="C77" s="48"/>
      <c r="D77" s="21" t="s">
        <v>300</v>
      </c>
      <c r="E77" s="21" t="s">
        <v>501</v>
      </c>
      <c r="F77" s="21" t="s">
        <v>502</v>
      </c>
      <c r="G77" s="21" t="s">
        <v>303</v>
      </c>
      <c r="H77" s="24"/>
      <c r="I77" s="10"/>
      <c r="J77" s="10"/>
    </row>
    <row r="78">
      <c r="A78" s="1"/>
      <c r="B78" s="21"/>
      <c r="C78" s="21"/>
      <c r="D78" s="21"/>
      <c r="E78" s="21"/>
      <c r="F78" s="21"/>
      <c r="G78" s="21"/>
      <c r="H78" s="24"/>
      <c r="I78" s="10"/>
      <c r="J78" s="10"/>
    </row>
    <row r="79">
      <c r="A79" s="1"/>
      <c r="B79" s="21"/>
      <c r="C79" s="21"/>
      <c r="D79" s="21"/>
      <c r="E79" s="21"/>
      <c r="F79" s="21"/>
      <c r="G79" s="21"/>
      <c r="H79" s="24"/>
      <c r="I79" s="10"/>
      <c r="J79" s="10"/>
    </row>
    <row r="80">
      <c r="A80" s="1"/>
      <c r="B80" s="21"/>
      <c r="C80" s="21"/>
      <c r="D80" s="21"/>
      <c r="E80" s="21"/>
      <c r="F80" s="21"/>
      <c r="G80" s="21"/>
      <c r="H80" s="24"/>
      <c r="I80" s="10"/>
      <c r="J80" s="10"/>
    </row>
    <row r="81">
      <c r="A81" s="1"/>
      <c r="B81" s="21"/>
      <c r="C81" s="21"/>
      <c r="D81" s="21"/>
      <c r="E81" s="21"/>
      <c r="F81" s="21"/>
      <c r="G81" s="21"/>
      <c r="H81" s="24"/>
      <c r="I81" s="10"/>
      <c r="J81" s="10"/>
    </row>
    <row r="82">
      <c r="A82" s="1"/>
      <c r="B82" s="21"/>
      <c r="C82" s="21"/>
      <c r="D82" s="21"/>
      <c r="E82" s="21"/>
      <c r="F82" s="21"/>
      <c r="G82" s="21"/>
      <c r="H82" s="24"/>
      <c r="I82" s="10"/>
      <c r="J82" s="10"/>
    </row>
    <row r="83">
      <c r="A83" s="1"/>
      <c r="B83" s="21"/>
      <c r="C83" s="33"/>
      <c r="D83" s="33"/>
      <c r="E83" s="10"/>
      <c r="F83" s="10"/>
      <c r="G83" s="10"/>
      <c r="H83" s="24"/>
      <c r="I83" s="10"/>
      <c r="J83" s="10"/>
    </row>
    <row r="84">
      <c r="A84" s="1"/>
      <c r="B84" s="21"/>
      <c r="C84" s="33"/>
      <c r="D84" s="33"/>
      <c r="E84" s="10"/>
      <c r="F84" s="10"/>
      <c r="G84" s="10"/>
      <c r="H84" s="24"/>
      <c r="I84" s="10"/>
      <c r="J84" s="10"/>
    </row>
    <row r="85">
      <c r="A85" s="1"/>
      <c r="B85" s="21"/>
      <c r="C85" s="33"/>
      <c r="D85" s="33"/>
      <c r="E85" s="10"/>
      <c r="F85" s="10"/>
      <c r="G85" s="10"/>
      <c r="H85" s="24"/>
      <c r="I85" s="10"/>
      <c r="J85" s="10"/>
    </row>
    <row r="86">
      <c r="A86" s="1"/>
      <c r="B86" s="21"/>
      <c r="C86" s="33"/>
      <c r="D86" s="33"/>
      <c r="E86" s="10"/>
      <c r="F86" s="10"/>
      <c r="G86" s="10"/>
      <c r="H86" s="24"/>
      <c r="I86" s="10"/>
      <c r="J86" s="10"/>
    </row>
    <row r="87">
      <c r="A87" s="1"/>
      <c r="B87" s="21"/>
      <c r="C87" s="33"/>
      <c r="D87" s="33"/>
      <c r="E87" s="10"/>
      <c r="F87" s="10"/>
      <c r="G87" s="10"/>
      <c r="H87" s="24"/>
      <c r="I87" s="10"/>
      <c r="J87" s="10"/>
    </row>
    <row r="88">
      <c r="A88" s="1"/>
      <c r="B88" s="21"/>
      <c r="C88" s="33"/>
      <c r="D88" s="33"/>
      <c r="E88" s="10"/>
      <c r="F88" s="10"/>
      <c r="G88" s="10"/>
      <c r="H88" s="24"/>
      <c r="I88" s="10"/>
      <c r="J88" s="10"/>
    </row>
    <row r="89">
      <c r="A89" s="1"/>
      <c r="B89" s="21"/>
      <c r="C89" s="33"/>
      <c r="D89" s="33"/>
      <c r="E89" s="10"/>
      <c r="F89" s="10"/>
      <c r="G89" s="10"/>
      <c r="H89" s="24"/>
      <c r="I89" s="10"/>
      <c r="J89" s="10"/>
    </row>
    <row r="90">
      <c r="A90" s="1"/>
      <c r="B90" s="21"/>
      <c r="C90" s="33"/>
      <c r="D90" s="33"/>
      <c r="E90" s="10"/>
      <c r="F90" s="10"/>
      <c r="G90" s="10"/>
      <c r="H90" s="24"/>
      <c r="I90" s="10"/>
      <c r="J90" s="10"/>
    </row>
    <row r="91">
      <c r="A91" s="1"/>
      <c r="B91" s="21"/>
      <c r="C91" s="33"/>
      <c r="D91" s="33"/>
      <c r="E91" s="10"/>
      <c r="F91" s="10"/>
      <c r="G91" s="10"/>
      <c r="H91" s="24"/>
      <c r="I91" s="10"/>
      <c r="J91" s="10"/>
    </row>
    <row r="92">
      <c r="A92" s="1"/>
      <c r="B92" s="21"/>
      <c r="C92" s="33"/>
      <c r="D92" s="33"/>
      <c r="E92" s="10"/>
      <c r="F92" s="10"/>
      <c r="G92" s="10"/>
      <c r="H92" s="24"/>
      <c r="I92" s="10"/>
      <c r="J92" s="10"/>
    </row>
    <row r="93">
      <c r="A93" s="1"/>
      <c r="B93" s="21"/>
      <c r="C93" s="33"/>
      <c r="D93" s="33"/>
      <c r="E93" s="10"/>
      <c r="F93" s="10"/>
      <c r="G93" s="10"/>
      <c r="H93" s="24"/>
      <c r="I93" s="10"/>
      <c r="J93" s="10"/>
    </row>
    <row r="94">
      <c r="A94" s="1"/>
      <c r="B94" s="21"/>
      <c r="C94" s="33"/>
      <c r="D94" s="33"/>
      <c r="E94" s="10"/>
      <c r="F94" s="10"/>
      <c r="G94" s="10"/>
      <c r="H94" s="24"/>
      <c r="I94" s="10"/>
      <c r="J94" s="10"/>
    </row>
    <row r="95">
      <c r="A95" s="1"/>
      <c r="B95" s="21"/>
      <c r="C95" s="33"/>
      <c r="D95" s="33"/>
      <c r="E95" s="10"/>
      <c r="F95" s="10"/>
      <c r="G95" s="10"/>
      <c r="H95" s="24"/>
      <c r="I95" s="10"/>
      <c r="J95" s="10"/>
    </row>
    <row r="96">
      <c r="A96" s="1"/>
      <c r="B96" s="21"/>
      <c r="C96" s="33"/>
      <c r="D96" s="33"/>
      <c r="E96" s="10"/>
      <c r="F96" s="10"/>
      <c r="G96" s="10"/>
      <c r="H96" s="24"/>
      <c r="I96" s="10"/>
      <c r="J96" s="10"/>
    </row>
    <row r="97">
      <c r="A97" s="1"/>
      <c r="B97" s="21"/>
      <c r="C97" s="33"/>
      <c r="D97" s="33"/>
      <c r="E97" s="10"/>
      <c r="F97" s="10"/>
      <c r="G97" s="10"/>
      <c r="H97" s="24"/>
      <c r="I97" s="10"/>
      <c r="J97" s="10"/>
    </row>
    <row r="98">
      <c r="A98" s="1"/>
      <c r="B98" s="21"/>
      <c r="C98" s="33"/>
      <c r="D98" s="33"/>
      <c r="E98" s="10"/>
      <c r="F98" s="10"/>
      <c r="G98" s="10"/>
      <c r="H98" s="24"/>
      <c r="I98" s="10"/>
      <c r="J98" s="10"/>
    </row>
    <row r="99">
      <c r="A99" s="1"/>
      <c r="B99" s="21"/>
      <c r="C99" s="33"/>
      <c r="D99" s="33"/>
      <c r="E99" s="10"/>
      <c r="F99" s="10"/>
      <c r="G99" s="10"/>
      <c r="H99" s="24"/>
      <c r="I99" s="10"/>
      <c r="J99" s="10"/>
    </row>
    <row r="100">
      <c r="A100" s="1"/>
      <c r="B100" s="21"/>
      <c r="C100" s="33"/>
      <c r="D100" s="33"/>
      <c r="E100" s="10"/>
      <c r="F100" s="10"/>
      <c r="G100" s="10"/>
      <c r="H100" s="24"/>
      <c r="I100" s="10"/>
      <c r="J100" s="10"/>
    </row>
    <row r="101">
      <c r="A101" s="1"/>
      <c r="B101" s="21"/>
      <c r="C101" s="33"/>
      <c r="D101" s="33"/>
      <c r="E101" s="10"/>
      <c r="F101" s="10"/>
      <c r="G101" s="10"/>
      <c r="H101" s="24"/>
      <c r="I101" s="10"/>
      <c r="J101" s="10"/>
    </row>
    <row r="102">
      <c r="A102" s="1"/>
      <c r="B102" s="21"/>
      <c r="C102" s="33"/>
      <c r="D102" s="33"/>
      <c r="E102" s="35"/>
      <c r="F102" s="36"/>
      <c r="G102" s="10"/>
      <c r="H102" s="24"/>
      <c r="I102" s="10"/>
      <c r="J102" s="10"/>
    </row>
    <row r="103">
      <c r="A103" s="1"/>
      <c r="B103" s="21"/>
      <c r="C103" s="33"/>
      <c r="D103" s="33"/>
      <c r="E103" s="29"/>
      <c r="F103" s="36"/>
      <c r="G103" s="10"/>
      <c r="H103" s="24"/>
      <c r="I103" s="10"/>
      <c r="J103" s="10"/>
    </row>
    <row r="104">
      <c r="A104" s="1"/>
      <c r="B104" s="21"/>
      <c r="C104" s="33"/>
      <c r="D104" s="33"/>
      <c r="E104" s="30"/>
      <c r="F104" s="36"/>
      <c r="G104" s="10"/>
      <c r="H104" s="24"/>
      <c r="I104" s="10"/>
      <c r="J104" s="10"/>
    </row>
    <row r="105">
      <c r="A105" s="1"/>
      <c r="B105" s="21"/>
      <c r="C105" s="33"/>
      <c r="D105" s="33"/>
      <c r="E105" s="10"/>
      <c r="F105" s="36"/>
      <c r="G105" s="10"/>
      <c r="H105" s="10"/>
      <c r="I105" s="10"/>
      <c r="J105" s="37"/>
    </row>
    <row r="106">
      <c r="A106" s="1"/>
      <c r="B106" s="21"/>
      <c r="C106" s="33"/>
      <c r="D106" s="33"/>
      <c r="E106" s="10"/>
      <c r="F106" s="36"/>
      <c r="G106" s="10"/>
      <c r="H106" s="10"/>
      <c r="I106" s="10"/>
      <c r="J106" s="37"/>
    </row>
    <row r="107">
      <c r="A107" s="1"/>
      <c r="B107" s="21"/>
      <c r="C107" s="33"/>
      <c r="D107" s="33"/>
      <c r="E107" s="10"/>
      <c r="F107" s="36"/>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1"/>
      <c r="B113" s="21"/>
      <c r="C113" s="33"/>
      <c r="D113" s="33"/>
      <c r="E113" s="10"/>
      <c r="F113" s="10"/>
      <c r="G113" s="10"/>
      <c r="H113" s="10"/>
      <c r="I113" s="10"/>
      <c r="J113" s="37"/>
    </row>
    <row r="114">
      <c r="A114" s="1"/>
      <c r="B114" s="21"/>
      <c r="C114" s="33"/>
      <c r="D114" s="33"/>
      <c r="E114" s="10"/>
      <c r="F114" s="10"/>
      <c r="G114" s="10"/>
      <c r="H114" s="10"/>
      <c r="I114" s="10"/>
      <c r="J114" s="37"/>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38"/>
      <c r="B117" s="39"/>
      <c r="C117" s="33"/>
      <c r="D117" s="33"/>
      <c r="E117" s="34"/>
      <c r="F117" s="34"/>
      <c r="G117" s="34"/>
      <c r="H117" s="34"/>
      <c r="I117" s="34"/>
      <c r="J117" s="40"/>
    </row>
    <row r="118">
      <c r="A118" s="38"/>
      <c r="B118" s="39"/>
      <c r="C118" s="33"/>
      <c r="D118" s="33"/>
      <c r="E118" s="34"/>
      <c r="F118" s="34"/>
      <c r="G118" s="34"/>
      <c r="H118" s="34"/>
      <c r="I118" s="34"/>
      <c r="J118" s="40"/>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1"/>
      <c r="B122" s="21"/>
      <c r="C122" s="33"/>
      <c r="D122" s="33"/>
      <c r="E122" s="10"/>
      <c r="F122" s="10"/>
      <c r="G122" s="10"/>
      <c r="H122" s="10"/>
      <c r="I122" s="10"/>
      <c r="J122" s="37"/>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1"/>
      <c r="B126" s="21"/>
      <c r="C126" s="33"/>
      <c r="D126" s="33"/>
      <c r="E126" s="10"/>
      <c r="F126" s="10"/>
      <c r="G126" s="10"/>
      <c r="H126" s="10"/>
      <c r="I126" s="10"/>
      <c r="J126" s="37"/>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1"/>
      <c r="B130" s="21"/>
      <c r="C130" s="33"/>
      <c r="D130" s="33"/>
      <c r="E130" s="10"/>
      <c r="F130" s="10"/>
      <c r="G130" s="10"/>
      <c r="H130" s="10"/>
      <c r="I130" s="10"/>
      <c r="J130" s="37"/>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1"/>
      <c r="B134" s="21"/>
      <c r="C134" s="33"/>
      <c r="D134" s="33"/>
      <c r="E134" s="10"/>
      <c r="F134" s="10"/>
      <c r="G134" s="10"/>
      <c r="H134" s="10"/>
      <c r="I134" s="10"/>
      <c r="J134" s="37"/>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1"/>
      <c r="B138" s="21"/>
      <c r="C138" s="33"/>
      <c r="D138" s="33"/>
      <c r="E138" s="10"/>
      <c r="F138" s="10"/>
      <c r="G138" s="10"/>
      <c r="H138" s="10"/>
      <c r="I138" s="10"/>
      <c r="J138" s="37"/>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1"/>
      <c r="B146" s="21"/>
      <c r="C146" s="33"/>
      <c r="D146" s="33"/>
      <c r="E146" s="10"/>
      <c r="F146" s="10"/>
      <c r="G146" s="10"/>
      <c r="H146" s="10"/>
      <c r="I146" s="10"/>
      <c r="J146" s="37"/>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38"/>
      <c r="B150" s="39"/>
      <c r="C150" s="33"/>
      <c r="D150" s="33"/>
      <c r="E150" s="34"/>
      <c r="F150" s="34"/>
      <c r="G150" s="34"/>
      <c r="H150" s="34"/>
      <c r="I150" s="34"/>
      <c r="J150" s="40"/>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38"/>
      <c r="B154" s="39"/>
      <c r="C154" s="33"/>
      <c r="D154" s="33"/>
      <c r="E154" s="34"/>
      <c r="F154" s="34"/>
      <c r="G154" s="34"/>
      <c r="H154" s="34"/>
      <c r="I154" s="34"/>
      <c r="J154" s="40"/>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1"/>
      <c r="B158" s="21"/>
      <c r="C158" s="33"/>
      <c r="D158" s="33"/>
      <c r="E158" s="10"/>
      <c r="F158" s="10"/>
      <c r="G158" s="10"/>
      <c r="H158" s="10"/>
      <c r="I158" s="10"/>
      <c r="J158" s="37"/>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38"/>
      <c r="B162" s="39"/>
      <c r="C162" s="33"/>
      <c r="D162" s="33"/>
      <c r="E162" s="34"/>
      <c r="F162" s="34"/>
      <c r="G162" s="34"/>
      <c r="H162" s="34"/>
      <c r="I162" s="34"/>
      <c r="J162" s="40"/>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10"/>
      <c r="J185" s="37"/>
    </row>
    <row r="186">
      <c r="A186" s="1"/>
      <c r="B186" s="21"/>
      <c r="C186" s="33"/>
      <c r="D186" s="33"/>
      <c r="E186" s="10"/>
      <c r="F186" s="10"/>
      <c r="G186" s="10"/>
      <c r="H186" s="10"/>
      <c r="I186" s="10"/>
      <c r="J186" s="37"/>
    </row>
    <row r="187">
      <c r="A187" s="1"/>
      <c r="B187" s="21"/>
      <c r="C187" s="33"/>
      <c r="D187" s="33"/>
      <c r="E187" s="10"/>
      <c r="F187" s="10"/>
      <c r="G187" s="10"/>
      <c r="H187" s="10"/>
      <c r="I187" s="10"/>
      <c r="J187" s="37"/>
    </row>
    <row r="188">
      <c r="A188" s="1"/>
      <c r="B188" s="21"/>
      <c r="C188" s="33"/>
      <c r="D188" s="33"/>
      <c r="E188" s="10"/>
      <c r="F188" s="10"/>
      <c r="G188" s="10"/>
      <c r="H188" s="10"/>
      <c r="I188" s="10"/>
      <c r="J188" s="37"/>
    </row>
    <row r="189">
      <c r="A189" s="1"/>
      <c r="B189" s="21"/>
      <c r="C189" s="33"/>
      <c r="D189" s="33"/>
      <c r="E189" s="10"/>
      <c r="F189" s="10"/>
      <c r="G189" s="10"/>
      <c r="H189" s="10"/>
      <c r="I189" s="10"/>
      <c r="J189" s="37"/>
    </row>
    <row r="190">
      <c r="A190" s="1"/>
      <c r="B190" s="21"/>
      <c r="C190" s="33"/>
      <c r="D190" s="33"/>
      <c r="E190" s="10"/>
      <c r="F190" s="10"/>
      <c r="G190" s="10"/>
      <c r="H190" s="10"/>
      <c r="I190" s="10"/>
      <c r="J190" s="37"/>
    </row>
    <row r="191">
      <c r="A191" s="1"/>
      <c r="B191" s="21"/>
      <c r="C191" s="33"/>
      <c r="D191" s="33"/>
      <c r="E191" s="10"/>
      <c r="F191" s="10"/>
      <c r="G191" s="10"/>
      <c r="H191" s="10"/>
      <c r="I191" s="10"/>
      <c r="J191" s="37"/>
    </row>
    <row r="192">
      <c r="A192" s="1"/>
      <c r="B192" s="21"/>
      <c r="C192" s="33"/>
      <c r="D192" s="33"/>
      <c r="E192" s="10"/>
      <c r="F192" s="10"/>
      <c r="G192" s="10"/>
      <c r="H192" s="10"/>
      <c r="I192" s="10"/>
      <c r="J192" s="37"/>
    </row>
    <row r="193">
      <c r="A193" s="1"/>
      <c r="B193" s="21"/>
      <c r="C193" s="33"/>
      <c r="D193" s="33"/>
      <c r="E193" s="10"/>
      <c r="F193" s="10"/>
      <c r="G193" s="10"/>
      <c r="H193" s="10"/>
      <c r="I193" s="10"/>
      <c r="J193" s="37"/>
    </row>
    <row r="194">
      <c r="A194" s="1"/>
      <c r="B194" s="21"/>
      <c r="C194" s="33"/>
      <c r="D194" s="33"/>
      <c r="E194" s="10"/>
      <c r="F194" s="10"/>
      <c r="G194" s="10"/>
      <c r="H194" s="10"/>
      <c r="I194" s="10"/>
      <c r="J194" s="37"/>
    </row>
    <row r="195">
      <c r="A195" s="1"/>
      <c r="B195" s="21"/>
      <c r="C195" s="33"/>
      <c r="D195" s="33"/>
      <c r="E195" s="10"/>
      <c r="F195" s="10"/>
      <c r="G195" s="10"/>
      <c r="H195" s="10"/>
      <c r="I195" s="10"/>
      <c r="J195" s="37"/>
    </row>
    <row r="196">
      <c r="A196" s="1"/>
      <c r="B196" s="21"/>
      <c r="C196" s="33"/>
      <c r="D196" s="33"/>
      <c r="E196" s="10"/>
      <c r="F196" s="10"/>
      <c r="G196" s="10"/>
      <c r="H196" s="10"/>
      <c r="I196" s="10"/>
      <c r="J196" s="37"/>
    </row>
    <row r="197">
      <c r="A197" s="1"/>
      <c r="B197" s="21"/>
      <c r="C197" s="33"/>
      <c r="D197" s="33"/>
      <c r="E197" s="10"/>
      <c r="F197" s="10"/>
      <c r="G197" s="10"/>
      <c r="H197" s="10"/>
      <c r="I197" s="10"/>
      <c r="J197" s="37"/>
    </row>
    <row r="198">
      <c r="A198" s="1"/>
      <c r="B198" s="21"/>
      <c r="C198" s="33"/>
      <c r="D198" s="33"/>
      <c r="E198" s="10"/>
      <c r="F198" s="10"/>
      <c r="G198" s="10"/>
      <c r="H198" s="10"/>
      <c r="I198" s="10"/>
      <c r="J198" s="37"/>
    </row>
    <row r="199">
      <c r="A199" s="1"/>
      <c r="B199" s="21"/>
      <c r="C199" s="33"/>
      <c r="D199" s="33"/>
      <c r="E199" s="10"/>
      <c r="F199" s="10"/>
      <c r="G199" s="10"/>
      <c r="H199" s="10"/>
      <c r="I199" s="10"/>
      <c r="J199" s="37"/>
    </row>
    <row r="200">
      <c r="A200" s="1"/>
      <c r="B200" s="21"/>
      <c r="C200" s="33"/>
      <c r="D200" s="33"/>
      <c r="E200" s="10"/>
      <c r="F200" s="10"/>
      <c r="G200" s="10"/>
      <c r="H200" s="10"/>
      <c r="I200" s="10"/>
      <c r="J200" s="37"/>
    </row>
    <row r="201">
      <c r="A201" s="1"/>
      <c r="B201" s="21"/>
      <c r="C201" s="33"/>
      <c r="D201" s="33"/>
      <c r="E201" s="10"/>
      <c r="F201" s="10"/>
      <c r="G201" s="10"/>
      <c r="H201" s="10"/>
      <c r="I201" s="10"/>
      <c r="J201" s="37"/>
    </row>
    <row r="202">
      <c r="A202" s="1"/>
      <c r="B202" s="21"/>
      <c r="C202" s="33"/>
      <c r="D202" s="33"/>
      <c r="E202" s="10"/>
      <c r="F202" s="10"/>
      <c r="G202" s="10"/>
      <c r="H202" s="10"/>
      <c r="I202" s="10"/>
      <c r="J202" s="37"/>
    </row>
    <row r="203">
      <c r="A203" s="1"/>
      <c r="B203" s="21"/>
      <c r="C203" s="33"/>
      <c r="D203" s="33"/>
      <c r="E203" s="10"/>
      <c r="F203" s="10"/>
      <c r="G203" s="10"/>
      <c r="H203" s="10"/>
      <c r="I203" s="10"/>
      <c r="J203" s="37"/>
    </row>
    <row r="204">
      <c r="A204" s="1"/>
      <c r="B204" s="21"/>
      <c r="C204" s="33"/>
      <c r="D204" s="33"/>
      <c r="E204" s="10"/>
      <c r="F204" s="10"/>
      <c r="G204" s="10"/>
      <c r="H204" s="10"/>
      <c r="I204" s="10"/>
      <c r="J204" s="37"/>
    </row>
    <row r="205">
      <c r="A205" s="1"/>
      <c r="B205" s="21"/>
      <c r="C205" s="33"/>
      <c r="D205" s="33"/>
      <c r="E205" s="10"/>
      <c r="F205" s="10"/>
      <c r="G205" s="10"/>
      <c r="H205" s="10"/>
      <c r="I205" s="10"/>
      <c r="J205" s="37"/>
    </row>
    <row r="206">
      <c r="A206" s="1"/>
      <c r="B206" s="21"/>
      <c r="C206" s="33"/>
      <c r="D206" s="33"/>
      <c r="E206" s="10"/>
      <c r="F206" s="10"/>
      <c r="G206" s="10"/>
      <c r="H206" s="10"/>
      <c r="I206" s="10"/>
      <c r="J206" s="37"/>
    </row>
    <row r="207">
      <c r="A207" s="1"/>
      <c r="B207" s="21"/>
      <c r="C207" s="33"/>
      <c r="D207" s="33"/>
      <c r="E207" s="10"/>
      <c r="F207" s="10"/>
      <c r="G207" s="10"/>
      <c r="H207" s="10"/>
      <c r="I207" s="10"/>
      <c r="J207" s="37"/>
    </row>
    <row r="208">
      <c r="A208" s="1"/>
      <c r="B208" s="21"/>
      <c r="C208" s="33"/>
      <c r="D208" s="33"/>
      <c r="E208" s="10"/>
      <c r="F208" s="10"/>
      <c r="G208" s="10"/>
      <c r="H208" s="10"/>
      <c r="I208" s="10"/>
      <c r="J208" s="37"/>
    </row>
    <row r="209">
      <c r="A209" s="1"/>
      <c r="B209" s="21"/>
      <c r="C209" s="33"/>
      <c r="D209" s="33"/>
      <c r="E209" s="10"/>
      <c r="F209" s="10"/>
      <c r="G209" s="10"/>
      <c r="H209" s="10"/>
      <c r="I209" s="10"/>
      <c r="J209" s="37"/>
    </row>
    <row r="210">
      <c r="A210" s="1"/>
      <c r="B210" s="21"/>
      <c r="C210" s="33"/>
      <c r="D210" s="33"/>
      <c r="E210" s="10"/>
      <c r="F210" s="10"/>
      <c r="G210" s="10"/>
      <c r="H210" s="10"/>
      <c r="I210" s="10"/>
      <c r="J210" s="37"/>
    </row>
    <row r="211">
      <c r="A211" s="1"/>
      <c r="B211" s="21"/>
      <c r="C211" s="33"/>
      <c r="D211" s="33"/>
      <c r="E211" s="10"/>
      <c r="F211" s="10"/>
      <c r="G211" s="10"/>
      <c r="H211" s="10"/>
      <c r="I211" s="10"/>
      <c r="J211" s="37"/>
    </row>
    <row r="212">
      <c r="A212" s="1"/>
      <c r="B212" s="21"/>
      <c r="C212" s="33"/>
      <c r="D212" s="33"/>
      <c r="E212" s="10"/>
      <c r="F212" s="10"/>
      <c r="G212" s="10"/>
      <c r="H212" s="10"/>
      <c r="I212" s="10"/>
      <c r="J212" s="37"/>
    </row>
    <row r="213">
      <c r="A213" s="1"/>
      <c r="B213" s="21"/>
      <c r="C213" s="33"/>
      <c r="D213" s="33"/>
      <c r="E213" s="10"/>
      <c r="F213" s="10"/>
      <c r="G213" s="10"/>
      <c r="H213" s="10"/>
      <c r="I213" s="10"/>
      <c r="J213" s="37"/>
    </row>
    <row r="214">
      <c r="A214" s="1"/>
      <c r="B214" s="21"/>
      <c r="C214" s="33"/>
      <c r="D214" s="33"/>
      <c r="E214" s="10"/>
      <c r="F214" s="10"/>
      <c r="G214" s="10"/>
      <c r="H214" s="10"/>
      <c r="I214" s="10"/>
      <c r="J214" s="37"/>
    </row>
    <row r="215">
      <c r="A215" s="1"/>
      <c r="B215" s="21"/>
      <c r="C215" s="33"/>
      <c r="D215" s="33"/>
      <c r="E215" s="10"/>
      <c r="F215" s="10"/>
      <c r="G215" s="10"/>
      <c r="H215" s="10"/>
      <c r="I215" s="10"/>
      <c r="J215" s="37"/>
    </row>
    <row r="216">
      <c r="A216" s="1"/>
      <c r="B216" s="21"/>
      <c r="C216" s="33"/>
      <c r="D216" s="33"/>
      <c r="E216" s="10"/>
      <c r="F216" s="10"/>
      <c r="G216" s="10"/>
      <c r="H216" s="10"/>
      <c r="I216" s="10"/>
      <c r="J216" s="37"/>
    </row>
    <row r="217">
      <c r="A217" s="1"/>
      <c r="B217" s="21"/>
      <c r="C217" s="33"/>
      <c r="D217" s="33"/>
      <c r="E217" s="10"/>
      <c r="F217" s="10"/>
      <c r="G217" s="10"/>
      <c r="H217" s="10"/>
      <c r="I217" s="37"/>
      <c r="J217" s="37"/>
    </row>
    <row r="218">
      <c r="A218" s="1"/>
      <c r="B218" s="21"/>
      <c r="C218" s="33"/>
      <c r="D218" s="33"/>
      <c r="E218" s="10"/>
      <c r="F218" s="10"/>
      <c r="G218" s="10"/>
      <c r="H218" s="10"/>
      <c r="I218" s="37"/>
      <c r="J218" s="37"/>
    </row>
    <row r="219">
      <c r="A219" s="1"/>
      <c r="B219" s="21"/>
      <c r="C219" s="33"/>
      <c r="D219" s="33"/>
      <c r="E219" s="10"/>
      <c r="F219" s="10"/>
      <c r="G219" s="10"/>
      <c r="H219" s="10"/>
      <c r="I219" s="37"/>
      <c r="J219" s="37"/>
    </row>
  </sheetData>
  <mergeCells count="14">
    <mergeCell ref="C53:C57"/>
    <mergeCell ref="C58:C64"/>
    <mergeCell ref="C65:C68"/>
    <mergeCell ref="C69:C71"/>
    <mergeCell ref="C72:C74"/>
    <mergeCell ref="C75:C77"/>
    <mergeCell ref="E102:E104"/>
    <mergeCell ref="C25:C26"/>
    <mergeCell ref="C27:C31"/>
    <mergeCell ref="C32:C37"/>
    <mergeCell ref="C38:C39"/>
    <mergeCell ref="C40:C43"/>
    <mergeCell ref="C44:C49"/>
    <mergeCell ref="C50:C52"/>
  </mergeCells>
  <dataValidations>
    <dataValidation type="list" allowBlank="1" sqref="H217:H219">
      <formula1>#REF!</formula1>
    </dataValidation>
    <dataValidation type="list" allowBlank="1" showErrorMessage="1" sqref="I24:I219">
      <formula1>"正常系,異常系"</formula1>
    </dataValidation>
    <dataValidation type="list" allowBlank="1" sqref="H24:H216">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219">
      <formula1>"低,中,高"</formula1>
    </dataValidation>
  </dataValidations>
  <hyperlinks>
    <hyperlink r:id="rId1" ref="B22"/>
    <hyperlink r:id="rId2" ref="G24"/>
    <hyperlink r:id="rId3" ref="G30"/>
    <hyperlink r:id="rId4" ref="G35"/>
    <hyperlink r:id="rId5" ref="G36"/>
    <hyperlink r:id="rId6" ref="G64"/>
    <hyperlink r:id="rId7" ref="G70"/>
    <hyperlink r:id="rId8" ref="G73"/>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COUNTIF(G24:G223,"*")</f>
        <v>38</v>
      </c>
      <c r="J1" s="1"/>
    </row>
    <row r="2">
      <c r="A2" s="1"/>
      <c r="B2" s="4" t="s">
        <v>1</v>
      </c>
      <c r="C2" s="5" t="s">
        <v>503</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COUNTIF($I$24:$I$223,$C6)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COUNTIF($H$24:$H$223,$C10)</f>
        <v>0</v>
      </c>
      <c r="E10" s="12"/>
      <c r="F10" s="44"/>
      <c r="G10" s="1"/>
      <c r="H10" s="1"/>
      <c r="I10" s="1"/>
      <c r="J10" s="1"/>
    </row>
    <row r="11">
      <c r="A11" s="1"/>
      <c r="B11" s="3">
        <v>2.0</v>
      </c>
      <c r="C11" s="10" t="s">
        <v>27</v>
      </c>
      <c r="D11" s="11">
        <f t="shared" si="2"/>
        <v>0</v>
      </c>
      <c r="E11" s="12"/>
      <c r="G11" s="1"/>
      <c r="H11" s="1"/>
      <c r="I11" s="1"/>
      <c r="J11" s="1"/>
    </row>
    <row r="12">
      <c r="A12" s="1"/>
      <c r="B12" s="3">
        <v>3.0</v>
      </c>
      <c r="C12" s="10" t="s">
        <v>28</v>
      </c>
      <c r="D12" s="14">
        <f t="shared" si="2"/>
        <v>0</v>
      </c>
      <c r="E12" s="10" t="s">
        <v>29</v>
      </c>
      <c r="F12" s="43"/>
      <c r="G12" s="1"/>
      <c r="H12" s="1"/>
      <c r="I12" s="1"/>
      <c r="J12" s="1"/>
    </row>
    <row r="13">
      <c r="A13" s="1"/>
      <c r="B13" s="3">
        <v>4.0</v>
      </c>
      <c r="C13" s="10" t="s">
        <v>30</v>
      </c>
      <c r="D13" s="11">
        <f t="shared" si="2"/>
        <v>0</v>
      </c>
      <c r="E13" s="12"/>
      <c r="G13" s="1"/>
      <c r="H13" s="1"/>
      <c r="I13" s="1"/>
      <c r="J13" s="1"/>
    </row>
    <row r="14">
      <c r="A14" s="1"/>
      <c r="B14" s="3">
        <v>5.0</v>
      </c>
      <c r="C14" s="10" t="s">
        <v>31</v>
      </c>
      <c r="D14" s="14">
        <f t="shared" si="2"/>
        <v>0</v>
      </c>
      <c r="E14" s="10" t="s">
        <v>29</v>
      </c>
      <c r="G14" s="1"/>
      <c r="H14" s="1"/>
      <c r="I14" s="1"/>
      <c r="J14" s="1"/>
    </row>
    <row r="15">
      <c r="A15" s="1"/>
      <c r="B15" s="3">
        <v>6.0</v>
      </c>
      <c r="C15" s="10" t="s">
        <v>32</v>
      </c>
      <c r="D15" s="14">
        <f t="shared" si="2"/>
        <v>0</v>
      </c>
      <c r="E15" s="10" t="s">
        <v>29</v>
      </c>
      <c r="G15" s="1"/>
      <c r="H15" s="1"/>
      <c r="I15" s="1"/>
      <c r="J15" s="1"/>
    </row>
    <row r="16">
      <c r="A16" s="1"/>
      <c r="B16" s="3">
        <v>7.0</v>
      </c>
      <c r="C16" s="10" t="s">
        <v>33</v>
      </c>
      <c r="D16" s="11">
        <f t="shared" si="2"/>
        <v>0</v>
      </c>
      <c r="E16" s="12"/>
      <c r="G16" s="1"/>
      <c r="H16" s="1"/>
      <c r="I16" s="1"/>
      <c r="J16" s="1"/>
    </row>
    <row r="17">
      <c r="A17" s="1"/>
      <c r="B17" s="3">
        <v>8.0</v>
      </c>
      <c r="C17" s="10" t="s">
        <v>34</v>
      </c>
      <c r="D17" s="11">
        <f t="shared" si="2"/>
        <v>0</v>
      </c>
      <c r="E17" s="12"/>
      <c r="G17" s="1"/>
      <c r="H17" s="1"/>
      <c r="I17" s="1"/>
      <c r="J17" s="1"/>
    </row>
    <row r="18">
      <c r="A18" s="1"/>
      <c r="B18" s="3">
        <v>9.0</v>
      </c>
      <c r="C18" s="10" t="s">
        <v>35</v>
      </c>
      <c r="D18" s="11">
        <f t="shared" si="2"/>
        <v>0</v>
      </c>
      <c r="E18" s="12"/>
      <c r="G18" s="1"/>
      <c r="H18" s="1"/>
      <c r="I18" s="1"/>
      <c r="J18" s="1"/>
    </row>
    <row r="19">
      <c r="A19" s="1"/>
      <c r="B19" s="1"/>
      <c r="C19" s="1"/>
      <c r="D19" s="1"/>
      <c r="E19" s="1"/>
      <c r="G19" s="1"/>
      <c r="H19" s="1"/>
      <c r="I19" s="1"/>
      <c r="J19" s="15"/>
    </row>
    <row r="20">
      <c r="A20" s="1"/>
      <c r="B20" s="1"/>
      <c r="C20" s="1"/>
      <c r="D20" s="1"/>
      <c r="G20" s="1"/>
      <c r="H20" s="1"/>
      <c r="I20" s="1"/>
      <c r="J20" s="1"/>
    </row>
    <row r="21">
      <c r="A21" s="1"/>
      <c r="B21" s="1"/>
      <c r="C21" s="1"/>
      <c r="D21" s="1"/>
      <c r="E21" s="1"/>
      <c r="F21" s="44"/>
      <c r="G21" s="1"/>
      <c r="H21" s="1"/>
      <c r="I21" s="1"/>
      <c r="J21" s="1"/>
    </row>
    <row r="22">
      <c r="A22" s="1"/>
      <c r="B22" s="16" t="s">
        <v>504</v>
      </c>
      <c r="C22" s="17"/>
      <c r="D22" s="17"/>
      <c r="E22" s="17"/>
      <c r="F22" s="44"/>
      <c r="G22" s="17"/>
      <c r="H22" s="17"/>
      <c r="I22" s="17"/>
      <c r="J22" s="17"/>
    </row>
    <row r="23">
      <c r="A23" s="1"/>
      <c r="B23" s="18" t="s">
        <v>37</v>
      </c>
      <c r="C23" s="20" t="s">
        <v>38</v>
      </c>
      <c r="D23" s="20" t="s">
        <v>39</v>
      </c>
      <c r="E23" s="20" t="s">
        <v>40</v>
      </c>
      <c r="F23" s="20" t="s">
        <v>41</v>
      </c>
      <c r="G23" s="20" t="s">
        <v>42</v>
      </c>
      <c r="H23" s="20" t="s">
        <v>43</v>
      </c>
      <c r="I23" s="20" t="s">
        <v>12</v>
      </c>
      <c r="J23" s="20" t="s">
        <v>44</v>
      </c>
    </row>
    <row r="24">
      <c r="A24" s="1"/>
      <c r="B24" s="21" t="str">
        <f t="shared" ref="B24:B61" si="3">$C$2 &amp; "-" &amp; ROW()-23</f>
        <v>Checkout step one-1</v>
      </c>
      <c r="C24" s="21" t="s">
        <v>505</v>
      </c>
      <c r="D24" s="21" t="s">
        <v>506</v>
      </c>
      <c r="E24" s="21" t="s">
        <v>507</v>
      </c>
      <c r="F24" s="21" t="s">
        <v>508</v>
      </c>
      <c r="G24" s="51" t="s">
        <v>509</v>
      </c>
      <c r="H24" s="24"/>
      <c r="I24" s="10"/>
      <c r="J24" s="10"/>
    </row>
    <row r="25">
      <c r="A25" s="1"/>
      <c r="B25" s="21" t="str">
        <f t="shared" si="3"/>
        <v>Checkout step one-2</v>
      </c>
      <c r="C25" s="47" t="s">
        <v>207</v>
      </c>
      <c r="D25" s="21" t="s">
        <v>208</v>
      </c>
      <c r="E25" s="21" t="s">
        <v>202</v>
      </c>
      <c r="F25" s="21" t="s">
        <v>209</v>
      </c>
      <c r="G25" s="21" t="s">
        <v>210</v>
      </c>
      <c r="H25" s="24"/>
      <c r="I25" s="10"/>
      <c r="J25" s="10"/>
    </row>
    <row r="26">
      <c r="A26" s="1"/>
      <c r="B26" s="21" t="str">
        <f t="shared" si="3"/>
        <v>Checkout step one-3</v>
      </c>
      <c r="C26" s="49"/>
      <c r="D26" s="21" t="s">
        <v>211</v>
      </c>
      <c r="E26" s="21" t="s">
        <v>202</v>
      </c>
      <c r="F26" s="21" t="s">
        <v>212</v>
      </c>
      <c r="G26" s="21" t="s">
        <v>213</v>
      </c>
      <c r="H26" s="24"/>
      <c r="I26" s="10"/>
      <c r="J26" s="10"/>
    </row>
    <row r="27">
      <c r="A27" s="1"/>
      <c r="B27" s="21" t="str">
        <f t="shared" si="3"/>
        <v>Checkout step one-4</v>
      </c>
      <c r="C27" s="49"/>
      <c r="D27" s="21" t="s">
        <v>214</v>
      </c>
      <c r="E27" s="21" t="s">
        <v>215</v>
      </c>
      <c r="F27" s="21" t="s">
        <v>216</v>
      </c>
      <c r="G27" s="21" t="s">
        <v>217</v>
      </c>
      <c r="H27" s="24"/>
      <c r="I27" s="10"/>
      <c r="J27" s="10"/>
    </row>
    <row r="28">
      <c r="A28" s="1"/>
      <c r="B28" s="21" t="str">
        <f t="shared" si="3"/>
        <v>Checkout step one-5</v>
      </c>
      <c r="C28" s="49"/>
      <c r="D28" s="21" t="s">
        <v>218</v>
      </c>
      <c r="E28" s="21" t="s">
        <v>215</v>
      </c>
      <c r="F28" s="50" t="s">
        <v>219</v>
      </c>
      <c r="G28" s="46" t="s">
        <v>510</v>
      </c>
      <c r="H28" s="24"/>
      <c r="I28" s="10"/>
      <c r="J28" s="10"/>
    </row>
    <row r="29">
      <c r="A29" s="1"/>
      <c r="B29" s="21" t="str">
        <f t="shared" si="3"/>
        <v>Checkout step one-6</v>
      </c>
      <c r="C29" s="48"/>
      <c r="D29" s="21" t="s">
        <v>221</v>
      </c>
      <c r="E29" s="21" t="s">
        <v>215</v>
      </c>
      <c r="F29" s="21" t="s">
        <v>222</v>
      </c>
      <c r="G29" s="21" t="s">
        <v>223</v>
      </c>
      <c r="H29" s="24"/>
      <c r="I29" s="10"/>
      <c r="J29" s="10"/>
    </row>
    <row r="30">
      <c r="A30" s="1"/>
      <c r="B30" s="21" t="str">
        <f t="shared" si="3"/>
        <v>Checkout step one-7</v>
      </c>
      <c r="C30" s="59" t="s">
        <v>511</v>
      </c>
      <c r="D30" s="21" t="s">
        <v>201</v>
      </c>
      <c r="E30" s="21" t="s">
        <v>512</v>
      </c>
      <c r="F30" s="21" t="s">
        <v>513</v>
      </c>
      <c r="G30" s="21" t="s">
        <v>54</v>
      </c>
      <c r="H30" s="24"/>
      <c r="I30" s="10"/>
      <c r="J30" s="10"/>
    </row>
    <row r="31">
      <c r="A31" s="1"/>
      <c r="B31" s="21" t="str">
        <f t="shared" si="3"/>
        <v>Checkout step one-8</v>
      </c>
      <c r="C31" s="48"/>
      <c r="D31" s="21" t="s">
        <v>514</v>
      </c>
      <c r="E31" s="21" t="s">
        <v>512</v>
      </c>
      <c r="F31" s="21" t="s">
        <v>515</v>
      </c>
      <c r="G31" s="21" t="s">
        <v>516</v>
      </c>
      <c r="H31" s="24"/>
      <c r="I31" s="10"/>
      <c r="J31" s="10"/>
    </row>
    <row r="32">
      <c r="A32" s="1"/>
      <c r="B32" s="21" t="str">
        <f t="shared" si="3"/>
        <v>Checkout step one-9</v>
      </c>
      <c r="C32" s="59" t="s">
        <v>517</v>
      </c>
      <c r="D32" s="21" t="s">
        <v>518</v>
      </c>
      <c r="E32" s="21" t="s">
        <v>512</v>
      </c>
      <c r="F32" s="21" t="s">
        <v>519</v>
      </c>
      <c r="G32" s="21" t="s">
        <v>520</v>
      </c>
      <c r="H32" s="24"/>
      <c r="I32" s="10"/>
      <c r="J32" s="10"/>
    </row>
    <row r="33">
      <c r="A33" s="1"/>
      <c r="B33" s="21" t="str">
        <f t="shared" si="3"/>
        <v>Checkout step one-10</v>
      </c>
      <c r="C33" s="48"/>
      <c r="D33" s="21" t="s">
        <v>521</v>
      </c>
      <c r="E33" s="21" t="s">
        <v>512</v>
      </c>
      <c r="F33" s="21" t="s">
        <v>515</v>
      </c>
      <c r="G33" s="21" t="s">
        <v>522</v>
      </c>
      <c r="H33" s="24"/>
      <c r="I33" s="10"/>
      <c r="J33" s="10"/>
    </row>
    <row r="34">
      <c r="A34" s="1"/>
      <c r="B34" s="21" t="str">
        <f t="shared" si="3"/>
        <v>Checkout step one-11</v>
      </c>
      <c r="C34" s="59" t="s">
        <v>523</v>
      </c>
      <c r="D34" s="21" t="s">
        <v>59</v>
      </c>
      <c r="E34" s="21" t="s">
        <v>524</v>
      </c>
      <c r="F34" s="21" t="s">
        <v>525</v>
      </c>
      <c r="G34" s="21" t="s">
        <v>526</v>
      </c>
      <c r="H34" s="24"/>
      <c r="I34" s="10"/>
      <c r="J34" s="10"/>
    </row>
    <row r="35">
      <c r="A35" s="1"/>
      <c r="B35" s="21" t="str">
        <f t="shared" si="3"/>
        <v>Checkout step one-12</v>
      </c>
      <c r="C35" s="49"/>
      <c r="D35" s="21" t="s">
        <v>527</v>
      </c>
      <c r="E35" s="21" t="s">
        <v>524</v>
      </c>
      <c r="F35" s="21" t="s">
        <v>528</v>
      </c>
      <c r="G35" s="21" t="s">
        <v>529</v>
      </c>
      <c r="H35" s="24"/>
      <c r="I35" s="10"/>
      <c r="J35" s="10"/>
    </row>
    <row r="36">
      <c r="A36" s="1"/>
      <c r="B36" s="21" t="str">
        <f t="shared" si="3"/>
        <v>Checkout step one-13</v>
      </c>
      <c r="C36" s="49"/>
      <c r="D36" s="21" t="s">
        <v>530</v>
      </c>
      <c r="E36" s="21" t="s">
        <v>531</v>
      </c>
      <c r="F36" s="21" t="s">
        <v>532</v>
      </c>
      <c r="G36" s="21" t="s">
        <v>533</v>
      </c>
      <c r="H36" s="24"/>
      <c r="I36" s="10"/>
      <c r="J36" s="10"/>
    </row>
    <row r="37">
      <c r="A37" s="1"/>
      <c r="B37" s="21" t="str">
        <f t="shared" si="3"/>
        <v>Checkout step one-14</v>
      </c>
      <c r="C37" s="49"/>
      <c r="D37" s="21" t="s">
        <v>534</v>
      </c>
      <c r="E37" s="21" t="s">
        <v>535</v>
      </c>
      <c r="F37" s="21" t="s">
        <v>536</v>
      </c>
      <c r="G37" s="21" t="s">
        <v>537</v>
      </c>
      <c r="H37" s="24"/>
      <c r="I37" s="10"/>
      <c r="J37" s="10"/>
    </row>
    <row r="38">
      <c r="A38" s="1"/>
      <c r="B38" s="21" t="str">
        <f t="shared" si="3"/>
        <v>Checkout step one-15</v>
      </c>
      <c r="C38" s="48"/>
      <c r="D38" s="21" t="s">
        <v>538</v>
      </c>
      <c r="E38" s="21" t="s">
        <v>539</v>
      </c>
      <c r="F38" s="21" t="s">
        <v>540</v>
      </c>
      <c r="G38" s="21" t="s">
        <v>541</v>
      </c>
      <c r="H38" s="24"/>
      <c r="I38" s="10"/>
      <c r="J38" s="10"/>
    </row>
    <row r="39">
      <c r="A39" s="1"/>
      <c r="B39" s="21" t="str">
        <f t="shared" si="3"/>
        <v>Checkout step one-16</v>
      </c>
      <c r="C39" s="59" t="s">
        <v>542</v>
      </c>
      <c r="D39" s="21" t="s">
        <v>59</v>
      </c>
      <c r="E39" s="21" t="s">
        <v>524</v>
      </c>
      <c r="F39" s="21" t="s">
        <v>543</v>
      </c>
      <c r="G39" s="21" t="s">
        <v>544</v>
      </c>
      <c r="H39" s="24"/>
      <c r="I39" s="10"/>
      <c r="J39" s="10"/>
    </row>
    <row r="40">
      <c r="A40" s="1"/>
      <c r="B40" s="21" t="str">
        <f t="shared" si="3"/>
        <v>Checkout step one-17</v>
      </c>
      <c r="C40" s="49"/>
      <c r="D40" s="21" t="s">
        <v>527</v>
      </c>
      <c r="E40" s="21" t="s">
        <v>524</v>
      </c>
      <c r="F40" s="21" t="s">
        <v>528</v>
      </c>
      <c r="G40" s="21" t="s">
        <v>529</v>
      </c>
      <c r="H40" s="24"/>
      <c r="I40" s="10"/>
      <c r="J40" s="10"/>
    </row>
    <row r="41">
      <c r="A41" s="1"/>
      <c r="B41" s="21" t="str">
        <f t="shared" si="3"/>
        <v>Checkout step one-18</v>
      </c>
      <c r="C41" s="49"/>
      <c r="D41" s="21" t="s">
        <v>530</v>
      </c>
      <c r="E41" s="21" t="s">
        <v>545</v>
      </c>
      <c r="F41" s="21" t="s">
        <v>532</v>
      </c>
      <c r="G41" s="21" t="s">
        <v>533</v>
      </c>
      <c r="H41" s="24"/>
      <c r="I41" s="10"/>
      <c r="J41" s="10"/>
    </row>
    <row r="42">
      <c r="A42" s="1"/>
      <c r="B42" s="21" t="str">
        <f t="shared" si="3"/>
        <v>Checkout step one-19</v>
      </c>
      <c r="C42" s="49"/>
      <c r="D42" s="21" t="s">
        <v>534</v>
      </c>
      <c r="E42" s="21" t="s">
        <v>546</v>
      </c>
      <c r="F42" s="21" t="s">
        <v>547</v>
      </c>
      <c r="G42" s="21" t="s">
        <v>548</v>
      </c>
      <c r="H42" s="24"/>
      <c r="I42" s="10"/>
      <c r="J42" s="10"/>
    </row>
    <row r="43">
      <c r="A43" s="1"/>
      <c r="B43" s="21" t="str">
        <f t="shared" si="3"/>
        <v>Checkout step one-20</v>
      </c>
      <c r="C43" s="48"/>
      <c r="D43" s="21" t="s">
        <v>538</v>
      </c>
      <c r="E43" s="21" t="s">
        <v>549</v>
      </c>
      <c r="F43" s="21" t="s">
        <v>550</v>
      </c>
      <c r="G43" s="21" t="s">
        <v>541</v>
      </c>
      <c r="H43" s="24"/>
      <c r="I43" s="10"/>
      <c r="J43" s="10"/>
    </row>
    <row r="44">
      <c r="A44" s="1"/>
      <c r="B44" s="21" t="str">
        <f t="shared" si="3"/>
        <v>Checkout step one-21</v>
      </c>
      <c r="C44" s="59" t="s">
        <v>551</v>
      </c>
      <c r="D44" s="21" t="s">
        <v>59</v>
      </c>
      <c r="E44" s="21" t="s">
        <v>524</v>
      </c>
      <c r="F44" s="21" t="s">
        <v>552</v>
      </c>
      <c r="G44" s="21" t="s">
        <v>553</v>
      </c>
      <c r="H44" s="24"/>
      <c r="I44" s="10"/>
      <c r="J44" s="10"/>
    </row>
    <row r="45">
      <c r="A45" s="1"/>
      <c r="B45" s="21" t="str">
        <f t="shared" si="3"/>
        <v>Checkout step one-22</v>
      </c>
      <c r="C45" s="49"/>
      <c r="D45" s="21" t="s">
        <v>527</v>
      </c>
      <c r="E45" s="21" t="s">
        <v>524</v>
      </c>
      <c r="F45" s="21" t="s">
        <v>554</v>
      </c>
      <c r="G45" s="21" t="s">
        <v>529</v>
      </c>
      <c r="H45" s="24"/>
      <c r="I45" s="10"/>
      <c r="J45" s="10"/>
    </row>
    <row r="46">
      <c r="A46" s="1"/>
      <c r="B46" s="21" t="str">
        <f t="shared" si="3"/>
        <v>Checkout step one-23</v>
      </c>
      <c r="C46" s="49"/>
      <c r="D46" s="21" t="s">
        <v>530</v>
      </c>
      <c r="E46" s="21" t="s">
        <v>555</v>
      </c>
      <c r="F46" s="21" t="s">
        <v>532</v>
      </c>
      <c r="G46" s="21" t="s">
        <v>533</v>
      </c>
      <c r="H46" s="24"/>
      <c r="I46" s="10"/>
      <c r="J46" s="10"/>
    </row>
    <row r="47">
      <c r="A47" s="1"/>
      <c r="B47" s="21" t="str">
        <f t="shared" si="3"/>
        <v>Checkout step one-24</v>
      </c>
      <c r="C47" s="49"/>
      <c r="D47" s="21" t="s">
        <v>534</v>
      </c>
      <c r="E47" s="21" t="s">
        <v>556</v>
      </c>
      <c r="F47" s="21" t="s">
        <v>557</v>
      </c>
      <c r="G47" s="21" t="s">
        <v>558</v>
      </c>
      <c r="H47" s="24"/>
      <c r="I47" s="10"/>
      <c r="J47" s="10"/>
    </row>
    <row r="48">
      <c r="A48" s="1"/>
      <c r="B48" s="21" t="str">
        <f t="shared" si="3"/>
        <v>Checkout step one-25</v>
      </c>
      <c r="C48" s="48"/>
      <c r="D48" s="21" t="s">
        <v>538</v>
      </c>
      <c r="E48" s="21" t="s">
        <v>559</v>
      </c>
      <c r="F48" s="21" t="s">
        <v>560</v>
      </c>
      <c r="G48" s="21" t="s">
        <v>541</v>
      </c>
      <c r="H48" s="24"/>
      <c r="I48" s="10"/>
      <c r="J48" s="10"/>
    </row>
    <row r="49">
      <c r="A49" s="1"/>
      <c r="B49" s="21" t="str">
        <f t="shared" si="3"/>
        <v>Checkout step one-26</v>
      </c>
      <c r="C49" s="59" t="s">
        <v>561</v>
      </c>
      <c r="D49" s="21" t="s">
        <v>562</v>
      </c>
      <c r="E49" s="21" t="s">
        <v>524</v>
      </c>
      <c r="F49" s="21" t="s">
        <v>563</v>
      </c>
      <c r="G49" s="21" t="s">
        <v>564</v>
      </c>
      <c r="H49" s="24"/>
      <c r="I49" s="10"/>
      <c r="J49" s="10"/>
    </row>
    <row r="50">
      <c r="A50" s="1"/>
      <c r="B50" s="21" t="str">
        <f t="shared" si="3"/>
        <v>Checkout step one-27</v>
      </c>
      <c r="C50" s="49"/>
      <c r="D50" s="21" t="s">
        <v>565</v>
      </c>
      <c r="E50" s="21" t="s">
        <v>566</v>
      </c>
      <c r="F50" s="21" t="s">
        <v>567</v>
      </c>
      <c r="G50" s="51" t="s">
        <v>568</v>
      </c>
      <c r="H50" s="24"/>
      <c r="I50" s="10"/>
      <c r="J50" s="10"/>
    </row>
    <row r="51">
      <c r="A51" s="1"/>
      <c r="B51" s="21" t="str">
        <f t="shared" si="3"/>
        <v>Checkout step one-28</v>
      </c>
      <c r="C51" s="49"/>
      <c r="D51" s="21" t="s">
        <v>569</v>
      </c>
      <c r="E51" s="21" t="s">
        <v>524</v>
      </c>
      <c r="F51" s="21" t="s">
        <v>570</v>
      </c>
      <c r="G51" s="21" t="s">
        <v>571</v>
      </c>
      <c r="H51" s="24"/>
      <c r="I51" s="10"/>
      <c r="J51" s="10"/>
    </row>
    <row r="52">
      <c r="A52" s="1"/>
      <c r="B52" s="21" t="str">
        <f t="shared" si="3"/>
        <v>Checkout step one-29</v>
      </c>
      <c r="C52" s="49"/>
      <c r="D52" s="21" t="s">
        <v>572</v>
      </c>
      <c r="E52" s="21" t="s">
        <v>535</v>
      </c>
      <c r="F52" s="21" t="s">
        <v>567</v>
      </c>
      <c r="G52" s="21" t="s">
        <v>573</v>
      </c>
      <c r="H52" s="24"/>
      <c r="I52" s="10"/>
      <c r="J52" s="10"/>
    </row>
    <row r="53">
      <c r="A53" s="1"/>
      <c r="B53" s="21" t="str">
        <f t="shared" si="3"/>
        <v>Checkout step one-30</v>
      </c>
      <c r="C53" s="49"/>
      <c r="D53" s="21" t="s">
        <v>574</v>
      </c>
      <c r="E53" s="21" t="s">
        <v>546</v>
      </c>
      <c r="F53" s="21" t="s">
        <v>567</v>
      </c>
      <c r="G53" s="21" t="s">
        <v>575</v>
      </c>
      <c r="H53" s="24"/>
      <c r="I53" s="10"/>
      <c r="J53" s="10"/>
    </row>
    <row r="54">
      <c r="A54" s="1"/>
      <c r="B54" s="21" t="str">
        <f t="shared" si="3"/>
        <v>Checkout step one-31</v>
      </c>
      <c r="C54" s="49"/>
      <c r="D54" s="21" t="s">
        <v>576</v>
      </c>
      <c r="E54" s="21" t="s">
        <v>556</v>
      </c>
      <c r="F54" s="21" t="s">
        <v>567</v>
      </c>
      <c r="G54" s="21" t="s">
        <v>577</v>
      </c>
      <c r="H54" s="24"/>
      <c r="I54" s="10"/>
      <c r="J54" s="10"/>
    </row>
    <row r="55">
      <c r="A55" s="1"/>
      <c r="B55" s="21" t="str">
        <f t="shared" si="3"/>
        <v>Checkout step one-32</v>
      </c>
      <c r="C55" s="48"/>
      <c r="D55" s="21" t="s">
        <v>100</v>
      </c>
      <c r="E55" s="21" t="s">
        <v>578</v>
      </c>
      <c r="F55" s="21" t="s">
        <v>579</v>
      </c>
      <c r="G55" s="21" t="s">
        <v>580</v>
      </c>
      <c r="H55" s="24"/>
      <c r="I55" s="10"/>
      <c r="J55" s="10"/>
    </row>
    <row r="56">
      <c r="A56" s="1"/>
      <c r="B56" s="21" t="str">
        <f t="shared" si="3"/>
        <v>Checkout step one-33</v>
      </c>
      <c r="C56" s="59" t="s">
        <v>581</v>
      </c>
      <c r="D56" s="21" t="s">
        <v>562</v>
      </c>
      <c r="E56" s="21" t="s">
        <v>524</v>
      </c>
      <c r="F56" s="21" t="s">
        <v>582</v>
      </c>
      <c r="G56" s="21" t="s">
        <v>583</v>
      </c>
      <c r="H56" s="24"/>
      <c r="I56" s="10"/>
      <c r="J56" s="10"/>
    </row>
    <row r="57">
      <c r="A57" s="1"/>
      <c r="B57" s="21" t="str">
        <f t="shared" si="3"/>
        <v>Checkout step one-34</v>
      </c>
      <c r="C57" s="49"/>
      <c r="D57" s="21" t="s">
        <v>505</v>
      </c>
      <c r="E57" s="21" t="s">
        <v>524</v>
      </c>
      <c r="F57" s="21" t="s">
        <v>584</v>
      </c>
      <c r="G57" s="51" t="s">
        <v>585</v>
      </c>
      <c r="H57" s="24"/>
      <c r="I57" s="10"/>
      <c r="J57" s="10"/>
    </row>
    <row r="58">
      <c r="A58" s="1"/>
      <c r="B58" s="21" t="str">
        <f t="shared" si="3"/>
        <v>Checkout step one-35</v>
      </c>
      <c r="C58" s="48"/>
      <c r="D58" s="21" t="s">
        <v>586</v>
      </c>
      <c r="E58" s="21" t="s">
        <v>587</v>
      </c>
      <c r="F58" s="21" t="s">
        <v>588</v>
      </c>
      <c r="G58" s="21" t="s">
        <v>589</v>
      </c>
      <c r="H58" s="24"/>
      <c r="I58" s="10"/>
      <c r="J58" s="10"/>
    </row>
    <row r="59">
      <c r="A59" s="1"/>
      <c r="B59" s="21" t="str">
        <f t="shared" si="3"/>
        <v>Checkout step one-36</v>
      </c>
      <c r="C59" s="59" t="s">
        <v>590</v>
      </c>
      <c r="D59" s="21" t="s">
        <v>591</v>
      </c>
      <c r="E59" s="21" t="s">
        <v>524</v>
      </c>
      <c r="F59" s="21" t="s">
        <v>592</v>
      </c>
      <c r="G59" s="21" t="s">
        <v>593</v>
      </c>
      <c r="H59" s="24"/>
      <c r="I59" s="10"/>
      <c r="J59" s="10"/>
    </row>
    <row r="60">
      <c r="A60" s="1"/>
      <c r="B60" s="21" t="str">
        <f t="shared" si="3"/>
        <v>Checkout step one-37</v>
      </c>
      <c r="C60" s="49"/>
      <c r="D60" s="21" t="s">
        <v>505</v>
      </c>
      <c r="E60" s="21" t="s">
        <v>524</v>
      </c>
      <c r="F60" s="21" t="s">
        <v>594</v>
      </c>
      <c r="G60" s="51" t="s">
        <v>595</v>
      </c>
      <c r="H60" s="24"/>
      <c r="I60" s="10"/>
      <c r="J60" s="10"/>
    </row>
    <row r="61">
      <c r="A61" s="1"/>
      <c r="B61" s="21" t="str">
        <f t="shared" si="3"/>
        <v>Checkout step one-38</v>
      </c>
      <c r="C61" s="48"/>
      <c r="D61" s="21" t="s">
        <v>596</v>
      </c>
      <c r="E61" s="21" t="s">
        <v>597</v>
      </c>
      <c r="F61" s="21" t="s">
        <v>598</v>
      </c>
      <c r="G61" s="21" t="s">
        <v>599</v>
      </c>
      <c r="H61" s="24"/>
      <c r="I61" s="10"/>
      <c r="J61" s="10"/>
    </row>
    <row r="62">
      <c r="A62" s="1"/>
      <c r="B62" s="21"/>
      <c r="C62" s="21"/>
      <c r="D62" s="21"/>
      <c r="E62" s="21"/>
      <c r="F62" s="21"/>
      <c r="G62" s="21"/>
      <c r="H62" s="24"/>
      <c r="I62" s="10"/>
      <c r="J62" s="10"/>
    </row>
    <row r="63">
      <c r="A63" s="1"/>
      <c r="B63" s="21"/>
      <c r="C63" s="21"/>
      <c r="D63" s="21"/>
      <c r="E63" s="21"/>
      <c r="F63" s="21"/>
      <c r="G63" s="21"/>
      <c r="H63" s="24"/>
      <c r="I63" s="10"/>
      <c r="J63" s="10"/>
    </row>
    <row r="64">
      <c r="A64" s="1"/>
      <c r="B64" s="21"/>
      <c r="C64" s="21"/>
      <c r="D64" s="21"/>
      <c r="E64" s="21"/>
      <c r="F64" s="21"/>
      <c r="G64" s="21"/>
      <c r="H64" s="24"/>
      <c r="I64" s="10"/>
      <c r="J64" s="10"/>
    </row>
    <row r="65">
      <c r="A65" s="1"/>
      <c r="B65" s="21"/>
      <c r="C65" s="21"/>
      <c r="D65" s="21"/>
      <c r="E65" s="21"/>
      <c r="F65" s="21"/>
      <c r="G65" s="21"/>
      <c r="H65" s="24"/>
      <c r="I65" s="10"/>
      <c r="J65" s="10"/>
    </row>
    <row r="66">
      <c r="A66" s="1"/>
      <c r="B66" s="21"/>
      <c r="C66" s="21"/>
      <c r="D66" s="21"/>
      <c r="E66" s="21"/>
      <c r="F66" s="21"/>
      <c r="G66" s="21"/>
      <c r="H66" s="24"/>
      <c r="I66" s="10"/>
      <c r="J66" s="10"/>
    </row>
    <row r="67">
      <c r="A67" s="1"/>
      <c r="B67" s="21"/>
      <c r="C67" s="33"/>
      <c r="D67" s="33"/>
      <c r="E67" s="10"/>
      <c r="F67" s="10"/>
      <c r="G67" s="10"/>
      <c r="H67" s="24"/>
      <c r="I67" s="10"/>
      <c r="J67" s="10"/>
    </row>
    <row r="68">
      <c r="A68" s="1"/>
      <c r="B68" s="21"/>
      <c r="C68" s="33"/>
      <c r="D68" s="33"/>
      <c r="E68" s="10"/>
      <c r="F68" s="10"/>
      <c r="G68" s="10"/>
      <c r="H68" s="24"/>
      <c r="I68" s="10"/>
      <c r="J68" s="10"/>
    </row>
    <row r="69">
      <c r="A69" s="1"/>
      <c r="B69" s="21"/>
      <c r="C69" s="33"/>
      <c r="D69" s="33"/>
      <c r="E69" s="10"/>
      <c r="F69" s="10"/>
      <c r="G69" s="10"/>
      <c r="H69" s="24"/>
      <c r="I69" s="10"/>
      <c r="J69" s="10"/>
    </row>
    <row r="70">
      <c r="A70" s="1"/>
      <c r="B70" s="21"/>
      <c r="C70" s="33"/>
      <c r="D70" s="33"/>
      <c r="E70" s="10"/>
      <c r="F70" s="10"/>
      <c r="G70" s="10"/>
      <c r="H70" s="24"/>
      <c r="I70" s="10"/>
      <c r="J70" s="10"/>
    </row>
    <row r="71">
      <c r="A71" s="1"/>
      <c r="B71" s="21"/>
      <c r="C71" s="33"/>
      <c r="D71" s="33"/>
      <c r="E71" s="10"/>
      <c r="F71" s="10"/>
      <c r="G71" s="10"/>
      <c r="H71" s="24"/>
      <c r="I71" s="10"/>
      <c r="J71" s="10"/>
    </row>
    <row r="72">
      <c r="A72" s="1"/>
      <c r="B72" s="21"/>
      <c r="C72" s="33"/>
      <c r="D72" s="33"/>
      <c r="E72" s="10"/>
      <c r="F72" s="10"/>
      <c r="G72" s="10"/>
      <c r="H72" s="24"/>
      <c r="I72" s="10"/>
      <c r="J72" s="10"/>
    </row>
    <row r="73">
      <c r="A73" s="1"/>
      <c r="B73" s="21"/>
      <c r="C73" s="33"/>
      <c r="D73" s="33"/>
      <c r="E73" s="10"/>
      <c r="F73" s="10"/>
      <c r="G73" s="10"/>
      <c r="H73" s="24"/>
      <c r="I73" s="10"/>
      <c r="J73" s="10"/>
    </row>
    <row r="74">
      <c r="A74" s="1"/>
      <c r="B74" s="21"/>
      <c r="C74" s="33"/>
      <c r="D74" s="33"/>
      <c r="E74" s="10"/>
      <c r="F74" s="10"/>
      <c r="G74" s="10"/>
      <c r="H74" s="24"/>
      <c r="I74" s="10"/>
      <c r="J74" s="10"/>
    </row>
    <row r="75">
      <c r="A75" s="1"/>
      <c r="B75" s="21"/>
      <c r="C75" s="33"/>
      <c r="D75" s="33"/>
      <c r="E75" s="10"/>
      <c r="F75" s="10"/>
      <c r="G75" s="10"/>
      <c r="H75" s="24"/>
      <c r="I75" s="10"/>
      <c r="J75" s="10"/>
    </row>
    <row r="76">
      <c r="A76" s="1"/>
      <c r="B76" s="21"/>
      <c r="C76" s="33"/>
      <c r="D76" s="33"/>
      <c r="E76" s="10"/>
      <c r="F76" s="10"/>
      <c r="G76" s="10"/>
      <c r="H76" s="24"/>
      <c r="I76" s="10"/>
      <c r="J76" s="10"/>
    </row>
    <row r="77">
      <c r="A77" s="1"/>
      <c r="B77" s="21"/>
      <c r="C77" s="33"/>
      <c r="D77" s="33"/>
      <c r="E77" s="10"/>
      <c r="F77" s="10"/>
      <c r="G77" s="10"/>
      <c r="H77" s="24"/>
      <c r="I77" s="10"/>
      <c r="J77" s="10"/>
    </row>
    <row r="78">
      <c r="A78" s="1"/>
      <c r="B78" s="21"/>
      <c r="C78" s="33"/>
      <c r="D78" s="33"/>
      <c r="E78" s="10"/>
      <c r="F78" s="10"/>
      <c r="G78" s="10"/>
      <c r="H78" s="24"/>
      <c r="I78" s="10"/>
      <c r="J78" s="10"/>
    </row>
    <row r="79">
      <c r="A79" s="1"/>
      <c r="B79" s="21"/>
      <c r="C79" s="33"/>
      <c r="D79" s="33"/>
      <c r="E79" s="10"/>
      <c r="F79" s="10"/>
      <c r="G79" s="10"/>
      <c r="H79" s="24"/>
      <c r="I79" s="10"/>
      <c r="J79" s="10"/>
    </row>
    <row r="80">
      <c r="A80" s="1"/>
      <c r="B80" s="21"/>
      <c r="C80" s="33"/>
      <c r="D80" s="33"/>
      <c r="E80" s="10"/>
      <c r="F80" s="10"/>
      <c r="G80" s="10"/>
      <c r="H80" s="24"/>
      <c r="I80" s="10"/>
      <c r="J80" s="10"/>
    </row>
    <row r="81">
      <c r="A81" s="1"/>
      <c r="B81" s="21"/>
      <c r="C81" s="33"/>
      <c r="D81" s="33"/>
      <c r="E81" s="10"/>
      <c r="F81" s="10"/>
      <c r="G81" s="10"/>
      <c r="H81" s="24"/>
      <c r="I81" s="10"/>
      <c r="J81" s="10"/>
    </row>
    <row r="82">
      <c r="A82" s="1"/>
      <c r="B82" s="21"/>
      <c r="C82" s="33"/>
      <c r="D82" s="33"/>
      <c r="E82" s="10"/>
      <c r="F82" s="10"/>
      <c r="G82" s="10"/>
      <c r="H82" s="24"/>
      <c r="I82" s="10"/>
      <c r="J82" s="10"/>
    </row>
    <row r="83">
      <c r="A83" s="1"/>
      <c r="B83" s="21"/>
      <c r="C83" s="33"/>
      <c r="D83" s="33"/>
      <c r="E83" s="10"/>
      <c r="F83" s="10"/>
      <c r="G83" s="10"/>
      <c r="H83" s="24"/>
      <c r="I83" s="10"/>
      <c r="J83" s="10"/>
    </row>
    <row r="84">
      <c r="A84" s="1"/>
      <c r="B84" s="21"/>
      <c r="C84" s="33"/>
      <c r="D84" s="33"/>
      <c r="E84" s="10"/>
      <c r="F84" s="10"/>
      <c r="G84" s="10"/>
      <c r="H84" s="24"/>
      <c r="I84" s="10"/>
      <c r="J84" s="10"/>
    </row>
    <row r="85">
      <c r="A85" s="1"/>
      <c r="B85" s="21"/>
      <c r="C85" s="33"/>
      <c r="D85" s="33"/>
      <c r="E85" s="10"/>
      <c r="F85" s="10"/>
      <c r="G85" s="10"/>
      <c r="H85" s="24"/>
      <c r="I85" s="10"/>
      <c r="J85" s="10"/>
    </row>
    <row r="86">
      <c r="A86" s="1"/>
      <c r="B86" s="21"/>
      <c r="C86" s="33"/>
      <c r="D86" s="33"/>
      <c r="E86" s="35"/>
      <c r="F86" s="36"/>
      <c r="G86" s="10"/>
      <c r="H86" s="24"/>
      <c r="I86" s="10"/>
      <c r="J86" s="10"/>
    </row>
    <row r="87">
      <c r="A87" s="1"/>
      <c r="B87" s="21"/>
      <c r="C87" s="33"/>
      <c r="D87" s="33"/>
      <c r="E87" s="29"/>
      <c r="F87" s="36"/>
      <c r="G87" s="10"/>
      <c r="H87" s="24"/>
      <c r="I87" s="10"/>
      <c r="J87" s="10"/>
    </row>
    <row r="88">
      <c r="A88" s="1"/>
      <c r="B88" s="21"/>
      <c r="C88" s="33"/>
      <c r="D88" s="33"/>
      <c r="E88" s="30"/>
      <c r="F88" s="36"/>
      <c r="G88" s="10"/>
      <c r="H88" s="24"/>
      <c r="I88" s="10"/>
      <c r="J88" s="10"/>
    </row>
    <row r="89">
      <c r="A89" s="1"/>
      <c r="B89" s="21"/>
      <c r="C89" s="33"/>
      <c r="D89" s="33"/>
      <c r="E89" s="10"/>
      <c r="F89" s="36"/>
      <c r="G89" s="10"/>
      <c r="H89" s="10"/>
      <c r="I89" s="10"/>
      <c r="J89" s="37"/>
    </row>
    <row r="90">
      <c r="A90" s="1"/>
      <c r="B90" s="21"/>
      <c r="C90" s="33"/>
      <c r="D90" s="33"/>
      <c r="E90" s="10"/>
      <c r="F90" s="36"/>
      <c r="G90" s="10"/>
      <c r="H90" s="10"/>
      <c r="I90" s="10"/>
      <c r="J90" s="37"/>
    </row>
    <row r="91">
      <c r="A91" s="1"/>
      <c r="B91" s="21"/>
      <c r="C91" s="33"/>
      <c r="D91" s="33"/>
      <c r="E91" s="10"/>
      <c r="F91" s="36"/>
      <c r="G91" s="10"/>
      <c r="H91" s="10"/>
      <c r="I91" s="10"/>
      <c r="J91" s="37"/>
    </row>
    <row r="92">
      <c r="A92" s="1"/>
      <c r="B92" s="21"/>
      <c r="C92" s="33"/>
      <c r="D92" s="33"/>
      <c r="E92" s="10"/>
      <c r="F92" s="10"/>
      <c r="G92" s="10"/>
      <c r="H92" s="10"/>
      <c r="I92" s="10"/>
      <c r="J92" s="37"/>
    </row>
    <row r="93">
      <c r="A93" s="1"/>
      <c r="B93" s="21"/>
      <c r="C93" s="33"/>
      <c r="D93" s="33"/>
      <c r="E93" s="10"/>
      <c r="F93" s="10"/>
      <c r="G93" s="10"/>
      <c r="H93" s="10"/>
      <c r="I93" s="10"/>
      <c r="J93" s="37"/>
    </row>
    <row r="94">
      <c r="A94" s="1"/>
      <c r="B94" s="21"/>
      <c r="C94" s="33"/>
      <c r="D94" s="33"/>
      <c r="E94" s="10"/>
      <c r="F94" s="10"/>
      <c r="G94" s="10"/>
      <c r="H94" s="10"/>
      <c r="I94" s="10"/>
      <c r="J94" s="37"/>
    </row>
    <row r="95">
      <c r="A95" s="1"/>
      <c r="B95" s="21"/>
      <c r="C95" s="33"/>
      <c r="D95" s="33"/>
      <c r="E95" s="10"/>
      <c r="F95" s="10"/>
      <c r="G95" s="10"/>
      <c r="H95" s="10"/>
      <c r="I95" s="10"/>
      <c r="J95" s="37"/>
    </row>
    <row r="96">
      <c r="A96" s="1"/>
      <c r="B96" s="21"/>
      <c r="C96" s="33"/>
      <c r="D96" s="33"/>
      <c r="E96" s="10"/>
      <c r="F96" s="10"/>
      <c r="G96" s="10"/>
      <c r="H96" s="10"/>
      <c r="I96" s="10"/>
      <c r="J96" s="37"/>
    </row>
    <row r="97">
      <c r="A97" s="1"/>
      <c r="B97" s="21"/>
      <c r="C97" s="33"/>
      <c r="D97" s="33"/>
      <c r="E97" s="10"/>
      <c r="F97" s="10"/>
      <c r="G97" s="10"/>
      <c r="H97" s="10"/>
      <c r="I97" s="10"/>
      <c r="J97" s="37"/>
    </row>
    <row r="98">
      <c r="A98" s="1"/>
      <c r="B98" s="21"/>
      <c r="C98" s="33"/>
      <c r="D98" s="33"/>
      <c r="E98" s="10"/>
      <c r="F98" s="10"/>
      <c r="G98" s="10"/>
      <c r="H98" s="10"/>
      <c r="I98" s="10"/>
      <c r="J98" s="37"/>
    </row>
    <row r="99">
      <c r="A99" s="1"/>
      <c r="B99" s="21"/>
      <c r="C99" s="33"/>
      <c r="D99" s="33"/>
      <c r="E99" s="10"/>
      <c r="F99" s="10"/>
      <c r="G99" s="10"/>
      <c r="H99" s="10"/>
      <c r="I99" s="10"/>
      <c r="J99" s="37"/>
    </row>
    <row r="100">
      <c r="A100" s="1"/>
      <c r="B100" s="21"/>
      <c r="C100" s="33"/>
      <c r="D100" s="33"/>
      <c r="E100" s="10"/>
      <c r="F100" s="10"/>
      <c r="G100" s="10"/>
      <c r="H100" s="10"/>
      <c r="I100" s="10"/>
      <c r="J100" s="37"/>
    </row>
    <row r="101">
      <c r="A101" s="38"/>
      <c r="B101" s="39"/>
      <c r="C101" s="33"/>
      <c r="D101" s="33"/>
      <c r="E101" s="34"/>
      <c r="F101" s="34"/>
      <c r="G101" s="34"/>
      <c r="H101" s="34"/>
      <c r="I101" s="34"/>
      <c r="J101" s="40"/>
    </row>
    <row r="102">
      <c r="A102" s="38"/>
      <c r="B102" s="39"/>
      <c r="C102" s="33"/>
      <c r="D102" s="33"/>
      <c r="E102" s="34"/>
      <c r="F102" s="34"/>
      <c r="G102" s="34"/>
      <c r="H102" s="34"/>
      <c r="I102" s="34"/>
      <c r="J102" s="40"/>
    </row>
    <row r="103">
      <c r="A103" s="1"/>
      <c r="B103" s="21"/>
      <c r="C103" s="33"/>
      <c r="D103" s="33"/>
      <c r="E103" s="10"/>
      <c r="F103" s="10"/>
      <c r="G103" s="10"/>
      <c r="H103" s="10"/>
      <c r="I103" s="10"/>
      <c r="J103" s="37"/>
    </row>
    <row r="104">
      <c r="A104" s="1"/>
      <c r="B104" s="21"/>
      <c r="C104" s="33"/>
      <c r="D104" s="33"/>
      <c r="E104" s="10"/>
      <c r="F104" s="10"/>
      <c r="G104" s="10"/>
      <c r="H104" s="10"/>
      <c r="I104" s="10"/>
      <c r="J104" s="37"/>
    </row>
    <row r="105">
      <c r="A105" s="1"/>
      <c r="B105" s="21"/>
      <c r="C105" s="33"/>
      <c r="D105" s="33"/>
      <c r="E105" s="10"/>
      <c r="F105" s="10"/>
      <c r="G105" s="10"/>
      <c r="H105" s="10"/>
      <c r="I105" s="10"/>
      <c r="J105" s="37"/>
    </row>
    <row r="106">
      <c r="A106" s="1"/>
      <c r="B106" s="21"/>
      <c r="C106" s="33"/>
      <c r="D106" s="33"/>
      <c r="E106" s="10"/>
      <c r="F106" s="10"/>
      <c r="G106" s="10"/>
      <c r="H106" s="10"/>
      <c r="I106" s="10"/>
      <c r="J106" s="37"/>
    </row>
    <row r="107">
      <c r="A107" s="1"/>
      <c r="B107" s="21"/>
      <c r="C107" s="33"/>
      <c r="D107" s="33"/>
      <c r="E107" s="10"/>
      <c r="F107" s="10"/>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1"/>
      <c r="B113" s="21"/>
      <c r="C113" s="33"/>
      <c r="D113" s="33"/>
      <c r="E113" s="10"/>
      <c r="F113" s="10"/>
      <c r="G113" s="10"/>
      <c r="H113" s="10"/>
      <c r="I113" s="10"/>
      <c r="J113" s="37"/>
    </row>
    <row r="114">
      <c r="A114" s="1"/>
      <c r="B114" s="21"/>
      <c r="C114" s="33"/>
      <c r="D114" s="33"/>
      <c r="E114" s="10"/>
      <c r="F114" s="10"/>
      <c r="G114" s="10"/>
      <c r="H114" s="10"/>
      <c r="I114" s="10"/>
      <c r="J114" s="37"/>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1"/>
      <c r="B117" s="21"/>
      <c r="C117" s="33"/>
      <c r="D117" s="33"/>
      <c r="E117" s="10"/>
      <c r="F117" s="10"/>
      <c r="G117" s="10"/>
      <c r="H117" s="10"/>
      <c r="I117" s="10"/>
      <c r="J117" s="37"/>
    </row>
    <row r="118">
      <c r="A118" s="1"/>
      <c r="B118" s="21"/>
      <c r="C118" s="33"/>
      <c r="D118" s="33"/>
      <c r="E118" s="10"/>
      <c r="F118" s="10"/>
      <c r="G118" s="10"/>
      <c r="H118" s="10"/>
      <c r="I118" s="10"/>
      <c r="J118" s="37"/>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1"/>
      <c r="B122" s="21"/>
      <c r="C122" s="33"/>
      <c r="D122" s="33"/>
      <c r="E122" s="10"/>
      <c r="F122" s="10"/>
      <c r="G122" s="10"/>
      <c r="H122" s="10"/>
      <c r="I122" s="10"/>
      <c r="J122" s="37"/>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1"/>
      <c r="B126" s="21"/>
      <c r="C126" s="33"/>
      <c r="D126" s="33"/>
      <c r="E126" s="10"/>
      <c r="F126" s="10"/>
      <c r="G126" s="10"/>
      <c r="H126" s="10"/>
      <c r="I126" s="10"/>
      <c r="J126" s="37"/>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1"/>
      <c r="B130" s="21"/>
      <c r="C130" s="33"/>
      <c r="D130" s="33"/>
      <c r="E130" s="10"/>
      <c r="F130" s="10"/>
      <c r="G130" s="10"/>
      <c r="H130" s="10"/>
      <c r="I130" s="10"/>
      <c r="J130" s="37"/>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38"/>
      <c r="B134" s="39"/>
      <c r="C134" s="33"/>
      <c r="D134" s="33"/>
      <c r="E134" s="34"/>
      <c r="F134" s="34"/>
      <c r="G134" s="34"/>
      <c r="H134" s="34"/>
      <c r="I134" s="34"/>
      <c r="J134" s="40"/>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38"/>
      <c r="B138" s="39"/>
      <c r="C138" s="33"/>
      <c r="D138" s="33"/>
      <c r="E138" s="34"/>
      <c r="F138" s="34"/>
      <c r="G138" s="34"/>
      <c r="H138" s="34"/>
      <c r="I138" s="34"/>
      <c r="J138" s="40"/>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38"/>
      <c r="B146" s="39"/>
      <c r="C146" s="33"/>
      <c r="D146" s="33"/>
      <c r="E146" s="34"/>
      <c r="F146" s="34"/>
      <c r="G146" s="34"/>
      <c r="H146" s="34"/>
      <c r="I146" s="34"/>
      <c r="J146" s="40"/>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1"/>
      <c r="B150" s="21"/>
      <c r="C150" s="33"/>
      <c r="D150" s="33"/>
      <c r="E150" s="10"/>
      <c r="F150" s="10"/>
      <c r="G150" s="10"/>
      <c r="H150" s="10"/>
      <c r="I150" s="10"/>
      <c r="J150" s="37"/>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1"/>
      <c r="B154" s="21"/>
      <c r="C154" s="33"/>
      <c r="D154" s="33"/>
      <c r="E154" s="10"/>
      <c r="F154" s="10"/>
      <c r="G154" s="10"/>
      <c r="H154" s="10"/>
      <c r="I154" s="10"/>
      <c r="J154" s="37"/>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1"/>
      <c r="B158" s="21"/>
      <c r="C158" s="33"/>
      <c r="D158" s="33"/>
      <c r="E158" s="10"/>
      <c r="F158" s="10"/>
      <c r="G158" s="10"/>
      <c r="H158" s="10"/>
      <c r="I158" s="10"/>
      <c r="J158" s="37"/>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1"/>
      <c r="B162" s="21"/>
      <c r="C162" s="33"/>
      <c r="D162" s="33"/>
      <c r="E162" s="10"/>
      <c r="F162" s="10"/>
      <c r="G162" s="10"/>
      <c r="H162" s="10"/>
      <c r="I162" s="10"/>
      <c r="J162" s="37"/>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10"/>
      <c r="J185" s="37"/>
    </row>
    <row r="186">
      <c r="A186" s="1"/>
      <c r="B186" s="21"/>
      <c r="C186" s="33"/>
      <c r="D186" s="33"/>
      <c r="E186" s="10"/>
      <c r="F186" s="10"/>
      <c r="G186" s="10"/>
      <c r="H186" s="10"/>
      <c r="I186" s="10"/>
      <c r="J186" s="37"/>
    </row>
    <row r="187">
      <c r="A187" s="1"/>
      <c r="B187" s="21"/>
      <c r="C187" s="33"/>
      <c r="D187" s="33"/>
      <c r="E187" s="10"/>
      <c r="F187" s="10"/>
      <c r="G187" s="10"/>
      <c r="H187" s="10"/>
      <c r="I187" s="10"/>
      <c r="J187" s="37"/>
    </row>
    <row r="188">
      <c r="A188" s="1"/>
      <c r="B188" s="21"/>
      <c r="C188" s="33"/>
      <c r="D188" s="33"/>
      <c r="E188" s="10"/>
      <c r="F188" s="10"/>
      <c r="G188" s="10"/>
      <c r="H188" s="10"/>
      <c r="I188" s="10"/>
      <c r="J188" s="37"/>
    </row>
    <row r="189">
      <c r="A189" s="1"/>
      <c r="B189" s="21"/>
      <c r="C189" s="33"/>
      <c r="D189" s="33"/>
      <c r="E189" s="10"/>
      <c r="F189" s="10"/>
      <c r="G189" s="10"/>
      <c r="H189" s="10"/>
      <c r="I189" s="10"/>
      <c r="J189" s="37"/>
    </row>
    <row r="190">
      <c r="A190" s="1"/>
      <c r="B190" s="21"/>
      <c r="C190" s="33"/>
      <c r="D190" s="33"/>
      <c r="E190" s="10"/>
      <c r="F190" s="10"/>
      <c r="G190" s="10"/>
      <c r="H190" s="10"/>
      <c r="I190" s="10"/>
      <c r="J190" s="37"/>
    </row>
    <row r="191">
      <c r="A191" s="1"/>
      <c r="B191" s="21"/>
      <c r="C191" s="33"/>
      <c r="D191" s="33"/>
      <c r="E191" s="10"/>
      <c r="F191" s="10"/>
      <c r="G191" s="10"/>
      <c r="H191" s="10"/>
      <c r="I191" s="10"/>
      <c r="J191" s="37"/>
    </row>
    <row r="192">
      <c r="A192" s="1"/>
      <c r="B192" s="21"/>
      <c r="C192" s="33"/>
      <c r="D192" s="33"/>
      <c r="E192" s="10"/>
      <c r="F192" s="10"/>
      <c r="G192" s="10"/>
      <c r="H192" s="10"/>
      <c r="I192" s="10"/>
      <c r="J192" s="37"/>
    </row>
    <row r="193">
      <c r="A193" s="1"/>
      <c r="B193" s="21"/>
      <c r="C193" s="33"/>
      <c r="D193" s="33"/>
      <c r="E193" s="10"/>
      <c r="F193" s="10"/>
      <c r="G193" s="10"/>
      <c r="H193" s="10"/>
      <c r="I193" s="10"/>
      <c r="J193" s="37"/>
    </row>
    <row r="194">
      <c r="A194" s="1"/>
      <c r="B194" s="21"/>
      <c r="C194" s="33"/>
      <c r="D194" s="33"/>
      <c r="E194" s="10"/>
      <c r="F194" s="10"/>
      <c r="G194" s="10"/>
      <c r="H194" s="10"/>
      <c r="I194" s="10"/>
      <c r="J194" s="37"/>
    </row>
    <row r="195">
      <c r="A195" s="1"/>
      <c r="B195" s="21"/>
      <c r="C195" s="33"/>
      <c r="D195" s="33"/>
      <c r="E195" s="10"/>
      <c r="F195" s="10"/>
      <c r="G195" s="10"/>
      <c r="H195" s="10"/>
      <c r="I195" s="10"/>
      <c r="J195" s="37"/>
    </row>
    <row r="196">
      <c r="A196" s="1"/>
      <c r="B196" s="21"/>
      <c r="C196" s="33"/>
      <c r="D196" s="33"/>
      <c r="E196" s="10"/>
      <c r="F196" s="10"/>
      <c r="G196" s="10"/>
      <c r="H196" s="10"/>
      <c r="I196" s="10"/>
      <c r="J196" s="37"/>
    </row>
    <row r="197">
      <c r="A197" s="1"/>
      <c r="B197" s="21"/>
      <c r="C197" s="33"/>
      <c r="D197" s="33"/>
      <c r="E197" s="10"/>
      <c r="F197" s="10"/>
      <c r="G197" s="10"/>
      <c r="H197" s="10"/>
      <c r="I197" s="10"/>
      <c r="J197" s="37"/>
    </row>
    <row r="198">
      <c r="A198" s="1"/>
      <c r="B198" s="21"/>
      <c r="C198" s="33"/>
      <c r="D198" s="33"/>
      <c r="E198" s="10"/>
      <c r="F198" s="10"/>
      <c r="G198" s="10"/>
      <c r="H198" s="10"/>
      <c r="I198" s="10"/>
      <c r="J198" s="37"/>
    </row>
    <row r="199">
      <c r="A199" s="1"/>
      <c r="B199" s="21"/>
      <c r="C199" s="33"/>
      <c r="D199" s="33"/>
      <c r="E199" s="10"/>
      <c r="F199" s="10"/>
      <c r="G199" s="10"/>
      <c r="H199" s="10"/>
      <c r="I199" s="10"/>
      <c r="J199" s="37"/>
    </row>
    <row r="200">
      <c r="A200" s="1"/>
      <c r="B200" s="21"/>
      <c r="C200" s="33"/>
      <c r="D200" s="33"/>
      <c r="E200" s="10"/>
      <c r="F200" s="10"/>
      <c r="G200" s="10"/>
      <c r="H200" s="10"/>
      <c r="I200" s="10"/>
      <c r="J200" s="37"/>
    </row>
    <row r="201">
      <c r="A201" s="1"/>
      <c r="B201" s="21"/>
      <c r="C201" s="33"/>
      <c r="D201" s="33"/>
      <c r="E201" s="10"/>
      <c r="F201" s="10"/>
      <c r="G201" s="10"/>
      <c r="H201" s="10"/>
      <c r="I201" s="37"/>
      <c r="J201" s="37"/>
    </row>
    <row r="202">
      <c r="A202" s="1"/>
      <c r="B202" s="21"/>
      <c r="C202" s="33"/>
      <c r="D202" s="33"/>
      <c r="E202" s="10"/>
      <c r="F202" s="10"/>
      <c r="G202" s="10"/>
      <c r="H202" s="10"/>
      <c r="I202" s="37"/>
      <c r="J202" s="37"/>
    </row>
    <row r="203">
      <c r="A203" s="1"/>
      <c r="B203" s="21"/>
      <c r="C203" s="33"/>
      <c r="D203" s="33"/>
      <c r="E203" s="10"/>
      <c r="F203" s="10"/>
      <c r="G203" s="10"/>
      <c r="H203" s="10"/>
      <c r="I203" s="37"/>
      <c r="J203" s="37"/>
    </row>
  </sheetData>
  <mergeCells count="10">
    <mergeCell ref="C56:C58"/>
    <mergeCell ref="C59:C61"/>
    <mergeCell ref="E86:E88"/>
    <mergeCell ref="C25:C29"/>
    <mergeCell ref="C30:C31"/>
    <mergeCell ref="C32:C33"/>
    <mergeCell ref="C34:C38"/>
    <mergeCell ref="C39:C43"/>
    <mergeCell ref="C44:C48"/>
    <mergeCell ref="C49:C55"/>
  </mergeCells>
  <dataValidations>
    <dataValidation type="list" allowBlank="1" sqref="H201:H203">
      <formula1>#REF!</formula1>
    </dataValidation>
    <dataValidation type="list" allowBlank="1" showErrorMessage="1" sqref="I24:I203">
      <formula1>"正常系,異常系"</formula1>
    </dataValidation>
    <dataValidation type="list" allowBlank="1" sqref="H24:H200">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203">
      <formula1>"低,中,高"</formula1>
    </dataValidation>
  </dataValidations>
  <hyperlinks>
    <hyperlink r:id="rId1" ref="B22"/>
    <hyperlink r:id="rId2" ref="G24"/>
    <hyperlink r:id="rId3" ref="G28"/>
    <hyperlink r:id="rId4" ref="G50"/>
    <hyperlink r:id="rId5" ref="G57"/>
    <hyperlink r:id="rId6" ref="G6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COUNTIF(G24:G211,"*")</f>
        <v>48</v>
      </c>
      <c r="J1" s="1"/>
    </row>
    <row r="2">
      <c r="A2" s="1"/>
      <c r="B2" s="4" t="s">
        <v>1</v>
      </c>
      <c r="C2" s="5" t="s">
        <v>600</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COUNTIF($I$24:$I$211,$C6)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COUNTIF($H$24:$H$211,$C10)</f>
        <v>0</v>
      </c>
      <c r="E10" s="12"/>
      <c r="F10" s="44"/>
      <c r="G10" s="1"/>
      <c r="H10" s="1"/>
      <c r="I10" s="1"/>
      <c r="J10" s="1"/>
    </row>
    <row r="11">
      <c r="A11" s="1"/>
      <c r="B11" s="3">
        <v>2.0</v>
      </c>
      <c r="C11" s="10" t="s">
        <v>27</v>
      </c>
      <c r="D11" s="11">
        <f t="shared" si="2"/>
        <v>0</v>
      </c>
      <c r="E11" s="12"/>
      <c r="G11" s="1"/>
      <c r="H11" s="1"/>
      <c r="I11" s="1"/>
      <c r="J11" s="1"/>
    </row>
    <row r="12">
      <c r="A12" s="1"/>
      <c r="B12" s="3">
        <v>3.0</v>
      </c>
      <c r="C12" s="10" t="s">
        <v>28</v>
      </c>
      <c r="D12" s="14">
        <f t="shared" si="2"/>
        <v>0</v>
      </c>
      <c r="E12" s="10" t="s">
        <v>29</v>
      </c>
      <c r="F12" s="43"/>
      <c r="G12" s="1"/>
      <c r="H12" s="1"/>
      <c r="I12" s="1"/>
      <c r="J12" s="1"/>
    </row>
    <row r="13">
      <c r="A13" s="1"/>
      <c r="B13" s="3">
        <v>4.0</v>
      </c>
      <c r="C13" s="10" t="s">
        <v>30</v>
      </c>
      <c r="D13" s="11">
        <f t="shared" si="2"/>
        <v>0</v>
      </c>
      <c r="E13" s="12"/>
      <c r="F13" s="43"/>
      <c r="G13" s="1"/>
      <c r="H13" s="1"/>
      <c r="I13" s="1"/>
      <c r="J13" s="1"/>
    </row>
    <row r="14">
      <c r="A14" s="1"/>
      <c r="B14" s="3">
        <v>5.0</v>
      </c>
      <c r="C14" s="10" t="s">
        <v>31</v>
      </c>
      <c r="D14" s="14">
        <f t="shared" si="2"/>
        <v>0</v>
      </c>
      <c r="E14" s="10" t="s">
        <v>29</v>
      </c>
      <c r="F14" s="43"/>
      <c r="G14" s="1"/>
      <c r="H14" s="1"/>
      <c r="I14" s="1"/>
      <c r="J14" s="1"/>
    </row>
    <row r="15">
      <c r="A15" s="1"/>
      <c r="B15" s="3">
        <v>6.0</v>
      </c>
      <c r="C15" s="10" t="s">
        <v>32</v>
      </c>
      <c r="D15" s="14">
        <f t="shared" si="2"/>
        <v>0</v>
      </c>
      <c r="E15" s="10" t="s">
        <v>29</v>
      </c>
      <c r="F15" s="43"/>
      <c r="G15" s="1"/>
      <c r="H15" s="1"/>
      <c r="I15" s="1"/>
      <c r="J15" s="1"/>
    </row>
    <row r="16">
      <c r="A16" s="1"/>
      <c r="B16" s="3">
        <v>7.0</v>
      </c>
      <c r="C16" s="10" t="s">
        <v>33</v>
      </c>
      <c r="D16" s="11">
        <f t="shared" si="2"/>
        <v>0</v>
      </c>
      <c r="E16" s="12"/>
      <c r="G16" s="1"/>
      <c r="H16" s="1"/>
      <c r="I16" s="1"/>
      <c r="J16" s="1"/>
    </row>
    <row r="17">
      <c r="A17" s="1"/>
      <c r="B17" s="3">
        <v>8.0</v>
      </c>
      <c r="C17" s="10" t="s">
        <v>34</v>
      </c>
      <c r="D17" s="11">
        <f t="shared" si="2"/>
        <v>0</v>
      </c>
      <c r="E17" s="12"/>
      <c r="G17" s="1"/>
      <c r="H17" s="1"/>
      <c r="I17" s="1"/>
      <c r="J17" s="1"/>
    </row>
    <row r="18">
      <c r="A18" s="1"/>
      <c r="B18" s="3">
        <v>9.0</v>
      </c>
      <c r="C18" s="10" t="s">
        <v>35</v>
      </c>
      <c r="D18" s="11">
        <f t="shared" si="2"/>
        <v>0</v>
      </c>
      <c r="E18" s="12"/>
      <c r="G18" s="1"/>
      <c r="H18" s="1"/>
      <c r="I18" s="1"/>
      <c r="J18" s="1"/>
    </row>
    <row r="19">
      <c r="A19" s="1"/>
      <c r="B19" s="1"/>
      <c r="C19" s="1"/>
      <c r="D19" s="1"/>
      <c r="E19" s="1"/>
      <c r="F19" s="44"/>
      <c r="G19" s="1"/>
      <c r="H19" s="1"/>
      <c r="I19" s="1"/>
      <c r="J19" s="15"/>
    </row>
    <row r="20">
      <c r="A20" s="1"/>
      <c r="B20" s="1"/>
      <c r="C20" s="1"/>
      <c r="D20" s="1"/>
      <c r="F20" s="44"/>
      <c r="G20" s="1"/>
      <c r="H20" s="1"/>
      <c r="I20" s="1"/>
      <c r="J20" s="1"/>
    </row>
    <row r="21">
      <c r="A21" s="1"/>
      <c r="B21" s="1"/>
      <c r="C21" s="1"/>
      <c r="D21" s="1"/>
      <c r="E21" s="1"/>
      <c r="F21" s="44"/>
      <c r="G21" s="1"/>
      <c r="H21" s="1"/>
      <c r="I21" s="1"/>
      <c r="J21" s="1"/>
    </row>
    <row r="22">
      <c r="A22" s="1"/>
      <c r="B22" s="16" t="s">
        <v>601</v>
      </c>
      <c r="C22" s="17"/>
      <c r="D22" s="17"/>
      <c r="E22" s="17"/>
      <c r="F22" s="44"/>
      <c r="G22" s="17"/>
      <c r="H22" s="17"/>
      <c r="I22" s="17"/>
      <c r="J22" s="17"/>
    </row>
    <row r="23">
      <c r="A23" s="1"/>
      <c r="B23" s="18" t="s">
        <v>37</v>
      </c>
      <c r="C23" s="20" t="s">
        <v>38</v>
      </c>
      <c r="D23" s="20" t="s">
        <v>39</v>
      </c>
      <c r="E23" s="20" t="s">
        <v>40</v>
      </c>
      <c r="F23" s="20" t="s">
        <v>41</v>
      </c>
      <c r="G23" s="20" t="s">
        <v>42</v>
      </c>
      <c r="H23" s="20" t="s">
        <v>43</v>
      </c>
      <c r="I23" s="20" t="s">
        <v>12</v>
      </c>
      <c r="J23" s="20" t="s">
        <v>44</v>
      </c>
    </row>
    <row r="24">
      <c r="A24" s="1"/>
      <c r="B24" s="21" t="str">
        <f t="shared" ref="B24:B71" si="3">$C$2 &amp; "-" &amp; ROW()-23</f>
        <v>Checkout step two-1</v>
      </c>
      <c r="C24" s="21" t="s">
        <v>505</v>
      </c>
      <c r="D24" s="21" t="s">
        <v>602</v>
      </c>
      <c r="E24" s="21" t="s">
        <v>603</v>
      </c>
      <c r="F24" s="21" t="s">
        <v>604</v>
      </c>
      <c r="G24" s="21" t="s">
        <v>605</v>
      </c>
      <c r="H24" s="24"/>
      <c r="I24" s="10"/>
      <c r="J24" s="10"/>
    </row>
    <row r="25">
      <c r="A25" s="1"/>
      <c r="B25" s="21" t="str">
        <f t="shared" si="3"/>
        <v>Checkout step two-2</v>
      </c>
      <c r="C25" s="47" t="s">
        <v>207</v>
      </c>
      <c r="D25" s="21" t="s">
        <v>208</v>
      </c>
      <c r="E25" s="21" t="s">
        <v>202</v>
      </c>
      <c r="F25" s="21" t="s">
        <v>209</v>
      </c>
      <c r="G25" s="21" t="s">
        <v>210</v>
      </c>
      <c r="H25" s="24"/>
      <c r="I25" s="10"/>
      <c r="J25" s="10"/>
    </row>
    <row r="26">
      <c r="A26" s="1"/>
      <c r="B26" s="21" t="str">
        <f t="shared" si="3"/>
        <v>Checkout step two-3</v>
      </c>
      <c r="C26" s="49"/>
      <c r="D26" s="21" t="s">
        <v>211</v>
      </c>
      <c r="E26" s="21" t="s">
        <v>202</v>
      </c>
      <c r="F26" s="21" t="s">
        <v>212</v>
      </c>
      <c r="G26" s="21" t="s">
        <v>213</v>
      </c>
      <c r="H26" s="24"/>
      <c r="I26" s="10"/>
      <c r="J26" s="10"/>
    </row>
    <row r="27">
      <c r="A27" s="1"/>
      <c r="B27" s="21" t="str">
        <f t="shared" si="3"/>
        <v>Checkout step two-4</v>
      </c>
      <c r="C27" s="49"/>
      <c r="D27" s="21" t="s">
        <v>214</v>
      </c>
      <c r="E27" s="21" t="s">
        <v>215</v>
      </c>
      <c r="F27" s="21" t="s">
        <v>216</v>
      </c>
      <c r="G27" s="21" t="s">
        <v>217</v>
      </c>
      <c r="H27" s="24"/>
      <c r="I27" s="10"/>
      <c r="J27" s="10"/>
    </row>
    <row r="28">
      <c r="A28" s="1"/>
      <c r="B28" s="21" t="str">
        <f t="shared" si="3"/>
        <v>Checkout step two-5</v>
      </c>
      <c r="C28" s="49"/>
      <c r="D28" s="21" t="s">
        <v>218</v>
      </c>
      <c r="E28" s="21" t="s">
        <v>215</v>
      </c>
      <c r="F28" s="50" t="s">
        <v>219</v>
      </c>
      <c r="G28" s="46" t="s">
        <v>606</v>
      </c>
      <c r="H28" s="24"/>
      <c r="I28" s="10"/>
      <c r="J28" s="10"/>
    </row>
    <row r="29">
      <c r="A29" s="1"/>
      <c r="B29" s="21" t="str">
        <f t="shared" si="3"/>
        <v>Checkout step two-6</v>
      </c>
      <c r="C29" s="48"/>
      <c r="D29" s="21" t="s">
        <v>221</v>
      </c>
      <c r="E29" s="21" t="s">
        <v>215</v>
      </c>
      <c r="F29" s="21" t="s">
        <v>222</v>
      </c>
      <c r="G29" s="21" t="s">
        <v>223</v>
      </c>
      <c r="H29" s="24"/>
      <c r="I29" s="10"/>
      <c r="J29" s="10"/>
    </row>
    <row r="30">
      <c r="A30" s="1"/>
      <c r="B30" s="21" t="str">
        <f t="shared" si="3"/>
        <v>Checkout step two-7</v>
      </c>
      <c r="C30" s="47" t="s">
        <v>511</v>
      </c>
      <c r="D30" s="21" t="s">
        <v>201</v>
      </c>
      <c r="E30" s="21" t="s">
        <v>607</v>
      </c>
      <c r="F30" s="21" t="s">
        <v>519</v>
      </c>
      <c r="G30" s="21" t="s">
        <v>54</v>
      </c>
      <c r="H30" s="24"/>
      <c r="I30" s="10"/>
      <c r="J30" s="10"/>
    </row>
    <row r="31">
      <c r="A31" s="1"/>
      <c r="B31" s="21" t="str">
        <f t="shared" si="3"/>
        <v>Checkout step two-8</v>
      </c>
      <c r="C31" s="48"/>
      <c r="D31" s="21" t="s">
        <v>514</v>
      </c>
      <c r="E31" s="21" t="s">
        <v>607</v>
      </c>
      <c r="F31" s="21" t="s">
        <v>515</v>
      </c>
      <c r="G31" s="21" t="s">
        <v>522</v>
      </c>
      <c r="H31" s="24"/>
      <c r="I31" s="10"/>
      <c r="J31" s="10"/>
    </row>
    <row r="32">
      <c r="A32" s="1"/>
      <c r="B32" s="21" t="str">
        <f t="shared" si="3"/>
        <v>Checkout step two-9</v>
      </c>
      <c r="C32" s="47" t="s">
        <v>608</v>
      </c>
      <c r="D32" s="21" t="s">
        <v>609</v>
      </c>
      <c r="E32" s="21" t="s">
        <v>607</v>
      </c>
      <c r="F32" s="21" t="s">
        <v>519</v>
      </c>
      <c r="G32" s="21" t="s">
        <v>610</v>
      </c>
      <c r="H32" s="24"/>
      <c r="I32" s="10"/>
      <c r="J32" s="10"/>
    </row>
    <row r="33">
      <c r="A33" s="1"/>
      <c r="B33" s="21" t="str">
        <f t="shared" si="3"/>
        <v>Checkout step two-10</v>
      </c>
      <c r="C33" s="48"/>
      <c r="D33" s="21" t="s">
        <v>611</v>
      </c>
      <c r="E33" s="21" t="s">
        <v>607</v>
      </c>
      <c r="F33" s="21" t="s">
        <v>515</v>
      </c>
      <c r="G33" s="21" t="s">
        <v>522</v>
      </c>
      <c r="H33" s="24"/>
      <c r="I33" s="10"/>
      <c r="J33" s="10"/>
    </row>
    <row r="34">
      <c r="A34" s="1"/>
      <c r="B34" s="21" t="str">
        <f t="shared" si="3"/>
        <v>Checkout step two-11</v>
      </c>
      <c r="C34" s="47" t="s">
        <v>612</v>
      </c>
      <c r="D34" s="21" t="s">
        <v>423</v>
      </c>
      <c r="E34" s="21" t="s">
        <v>607</v>
      </c>
      <c r="F34" s="21" t="s">
        <v>424</v>
      </c>
      <c r="G34" s="21" t="s">
        <v>425</v>
      </c>
      <c r="H34" s="24"/>
      <c r="I34" s="10"/>
      <c r="J34" s="10"/>
    </row>
    <row r="35">
      <c r="A35" s="1"/>
      <c r="B35" s="21" t="str">
        <f t="shared" si="3"/>
        <v>Checkout step two-12</v>
      </c>
      <c r="C35" s="48"/>
      <c r="D35" s="21" t="s">
        <v>613</v>
      </c>
      <c r="E35" s="21" t="s">
        <v>607</v>
      </c>
      <c r="F35" s="21" t="s">
        <v>427</v>
      </c>
      <c r="G35" s="21" t="s">
        <v>522</v>
      </c>
      <c r="H35" s="24"/>
      <c r="I35" s="10"/>
      <c r="J35" s="10"/>
    </row>
    <row r="36">
      <c r="A36" s="1"/>
      <c r="B36" s="21" t="str">
        <f t="shared" si="3"/>
        <v>Checkout step two-13</v>
      </c>
      <c r="C36" s="47" t="s">
        <v>614</v>
      </c>
      <c r="D36" s="21" t="s">
        <v>428</v>
      </c>
      <c r="E36" s="21" t="s">
        <v>607</v>
      </c>
      <c r="F36" s="21" t="s">
        <v>429</v>
      </c>
      <c r="G36" s="21" t="s">
        <v>430</v>
      </c>
      <c r="H36" s="24"/>
      <c r="I36" s="10"/>
      <c r="J36" s="10"/>
    </row>
    <row r="37">
      <c r="A37" s="1"/>
      <c r="B37" s="21" t="str">
        <f t="shared" si="3"/>
        <v>Checkout step two-14</v>
      </c>
      <c r="C37" s="48"/>
      <c r="D37" s="21" t="s">
        <v>615</v>
      </c>
      <c r="E37" s="21" t="s">
        <v>607</v>
      </c>
      <c r="F37" s="21" t="s">
        <v>432</v>
      </c>
      <c r="G37" s="21" t="s">
        <v>522</v>
      </c>
      <c r="H37" s="24"/>
      <c r="I37" s="10"/>
      <c r="J37" s="10"/>
    </row>
    <row r="38">
      <c r="A38" s="1"/>
      <c r="B38" s="21" t="str">
        <f t="shared" si="3"/>
        <v>Checkout step two-15</v>
      </c>
      <c r="C38" s="47" t="s">
        <v>231</v>
      </c>
      <c r="D38" s="21" t="s">
        <v>232</v>
      </c>
      <c r="E38" s="21" t="s">
        <v>616</v>
      </c>
      <c r="F38" s="21" t="s">
        <v>617</v>
      </c>
      <c r="G38" s="21" t="s">
        <v>618</v>
      </c>
      <c r="H38" s="24"/>
      <c r="I38" s="10"/>
      <c r="J38" s="10"/>
    </row>
    <row r="39">
      <c r="A39" s="1"/>
      <c r="B39" s="21" t="str">
        <f t="shared" si="3"/>
        <v>Checkout step two-16</v>
      </c>
      <c r="C39" s="49"/>
      <c r="D39" s="21" t="s">
        <v>619</v>
      </c>
      <c r="E39" s="21" t="s">
        <v>620</v>
      </c>
      <c r="F39" s="21" t="s">
        <v>621</v>
      </c>
      <c r="G39" s="21" t="s">
        <v>622</v>
      </c>
      <c r="H39" s="24"/>
      <c r="I39" s="10"/>
      <c r="J39" s="10"/>
    </row>
    <row r="40">
      <c r="A40" s="1"/>
      <c r="B40" s="21" t="str">
        <f t="shared" si="3"/>
        <v>Checkout step two-17</v>
      </c>
      <c r="C40" s="49"/>
      <c r="D40" s="21" t="s">
        <v>241</v>
      </c>
      <c r="E40" s="21" t="s">
        <v>620</v>
      </c>
      <c r="F40" s="21" t="s">
        <v>439</v>
      </c>
      <c r="G40" s="21" t="s">
        <v>243</v>
      </c>
      <c r="H40" s="24"/>
      <c r="I40" s="10"/>
      <c r="J40" s="10"/>
    </row>
    <row r="41">
      <c r="A41" s="1"/>
      <c r="B41" s="21" t="str">
        <f t="shared" si="3"/>
        <v>Checkout step two-18</v>
      </c>
      <c r="C41" s="49"/>
      <c r="D41" s="21" t="s">
        <v>244</v>
      </c>
      <c r="E41" s="21" t="s">
        <v>620</v>
      </c>
      <c r="F41" s="21" t="s">
        <v>440</v>
      </c>
      <c r="G41" s="21" t="s">
        <v>246</v>
      </c>
      <c r="H41" s="24"/>
      <c r="I41" s="10"/>
      <c r="J41" s="10"/>
    </row>
    <row r="42">
      <c r="A42" s="1"/>
      <c r="B42" s="21" t="str">
        <f t="shared" si="3"/>
        <v>Checkout step two-19</v>
      </c>
      <c r="C42" s="49"/>
      <c r="D42" s="21" t="s">
        <v>441</v>
      </c>
      <c r="E42" s="21" t="s">
        <v>620</v>
      </c>
      <c r="F42" s="21" t="s">
        <v>442</v>
      </c>
      <c r="G42" s="21" t="s">
        <v>623</v>
      </c>
      <c r="H42" s="24"/>
      <c r="I42" s="10"/>
      <c r="J42" s="10"/>
    </row>
    <row r="43">
      <c r="A43" s="1"/>
      <c r="B43" s="21" t="str">
        <f t="shared" si="3"/>
        <v>Checkout step two-20</v>
      </c>
      <c r="C43" s="49"/>
      <c r="D43" s="21" t="s">
        <v>624</v>
      </c>
      <c r="E43" s="21" t="s">
        <v>620</v>
      </c>
      <c r="F43" s="21" t="s">
        <v>625</v>
      </c>
      <c r="G43" s="21" t="s">
        <v>626</v>
      </c>
      <c r="H43" s="24"/>
      <c r="I43" s="10"/>
      <c r="J43" s="10"/>
    </row>
    <row r="44">
      <c r="A44" s="1"/>
      <c r="B44" s="21" t="str">
        <f t="shared" si="3"/>
        <v>Checkout step two-21</v>
      </c>
      <c r="C44" s="49"/>
      <c r="D44" s="21" t="s">
        <v>627</v>
      </c>
      <c r="E44" s="21" t="s">
        <v>620</v>
      </c>
      <c r="F44" s="21" t="s">
        <v>628</v>
      </c>
      <c r="G44" s="21" t="s">
        <v>629</v>
      </c>
      <c r="H44" s="24"/>
      <c r="I44" s="10"/>
      <c r="J44" s="10"/>
    </row>
    <row r="45">
      <c r="A45" s="1"/>
      <c r="B45" s="21" t="str">
        <f t="shared" si="3"/>
        <v>Checkout step two-22</v>
      </c>
      <c r="C45" s="49"/>
      <c r="D45" s="21" t="s">
        <v>255</v>
      </c>
      <c r="E45" s="21" t="s">
        <v>620</v>
      </c>
      <c r="F45" s="21" t="s">
        <v>256</v>
      </c>
      <c r="G45" s="21" t="s">
        <v>522</v>
      </c>
      <c r="H45" s="24"/>
      <c r="I45" s="10"/>
      <c r="J45" s="10"/>
    </row>
    <row r="46">
      <c r="A46" s="1"/>
      <c r="B46" s="21" t="str">
        <f t="shared" si="3"/>
        <v>Checkout step two-23</v>
      </c>
      <c r="C46" s="49"/>
      <c r="D46" s="21" t="s">
        <v>257</v>
      </c>
      <c r="E46" s="21" t="s">
        <v>620</v>
      </c>
      <c r="F46" s="21" t="s">
        <v>258</v>
      </c>
      <c r="G46" s="21" t="s">
        <v>522</v>
      </c>
      <c r="H46" s="24"/>
      <c r="I46" s="10"/>
      <c r="J46" s="10"/>
    </row>
    <row r="47">
      <c r="A47" s="1"/>
      <c r="B47" s="21" t="str">
        <f t="shared" si="3"/>
        <v>Checkout step two-24</v>
      </c>
      <c r="C47" s="49"/>
      <c r="D47" s="21" t="s">
        <v>459</v>
      </c>
      <c r="E47" s="21" t="s">
        <v>620</v>
      </c>
      <c r="F47" s="21" t="s">
        <v>460</v>
      </c>
      <c r="G47" s="21" t="s">
        <v>522</v>
      </c>
      <c r="H47" s="24"/>
      <c r="I47" s="10"/>
      <c r="J47" s="10"/>
    </row>
    <row r="48">
      <c r="A48" s="1"/>
      <c r="B48" s="21" t="str">
        <f t="shared" si="3"/>
        <v>Checkout step two-25</v>
      </c>
      <c r="C48" s="48"/>
      <c r="D48" s="21" t="s">
        <v>630</v>
      </c>
      <c r="E48" s="21" t="s">
        <v>631</v>
      </c>
      <c r="F48" s="21" t="s">
        <v>632</v>
      </c>
      <c r="G48" s="21" t="s">
        <v>633</v>
      </c>
      <c r="H48" s="24"/>
      <c r="I48" s="10"/>
      <c r="J48" s="10"/>
    </row>
    <row r="49">
      <c r="A49" s="1"/>
      <c r="B49" s="21" t="str">
        <f t="shared" si="3"/>
        <v>Checkout step two-26</v>
      </c>
      <c r="C49" s="47" t="s">
        <v>634</v>
      </c>
      <c r="D49" s="21" t="s">
        <v>609</v>
      </c>
      <c r="E49" s="21" t="s">
        <v>635</v>
      </c>
      <c r="F49" s="21" t="s">
        <v>519</v>
      </c>
      <c r="G49" s="21" t="s">
        <v>636</v>
      </c>
      <c r="H49" s="24"/>
      <c r="I49" s="10"/>
      <c r="J49" s="10"/>
    </row>
    <row r="50">
      <c r="A50" s="1"/>
      <c r="B50" s="21" t="str">
        <f t="shared" si="3"/>
        <v>Checkout step two-27</v>
      </c>
      <c r="C50" s="49"/>
      <c r="D50" s="21" t="s">
        <v>637</v>
      </c>
      <c r="E50" s="21" t="s">
        <v>635</v>
      </c>
      <c r="F50" s="21" t="s">
        <v>638</v>
      </c>
      <c r="G50" s="21" t="s">
        <v>639</v>
      </c>
      <c r="H50" s="24"/>
      <c r="I50" s="10"/>
      <c r="J50" s="10"/>
    </row>
    <row r="51">
      <c r="A51" s="1"/>
      <c r="B51" s="21" t="str">
        <f t="shared" si="3"/>
        <v>Checkout step two-28</v>
      </c>
      <c r="C51" s="49"/>
      <c r="D51" s="21" t="s">
        <v>611</v>
      </c>
      <c r="E51" s="21" t="s">
        <v>635</v>
      </c>
      <c r="F51" s="21" t="s">
        <v>515</v>
      </c>
      <c r="G51" s="21" t="s">
        <v>522</v>
      </c>
      <c r="H51" s="24"/>
      <c r="I51" s="10"/>
      <c r="J51" s="10"/>
    </row>
    <row r="52">
      <c r="A52" s="1"/>
      <c r="B52" s="21" t="str">
        <f t="shared" si="3"/>
        <v>Checkout step two-29</v>
      </c>
      <c r="C52" s="48"/>
      <c r="D52" s="21" t="s">
        <v>640</v>
      </c>
      <c r="E52" s="21" t="s">
        <v>635</v>
      </c>
      <c r="F52" s="21" t="s">
        <v>641</v>
      </c>
      <c r="G52" s="21" t="s">
        <v>522</v>
      </c>
      <c r="H52" s="24"/>
      <c r="I52" s="10"/>
      <c r="J52" s="10"/>
    </row>
    <row r="53">
      <c r="A53" s="1"/>
      <c r="B53" s="21" t="str">
        <f t="shared" si="3"/>
        <v>Checkout step two-30</v>
      </c>
      <c r="C53" s="47" t="s">
        <v>642</v>
      </c>
      <c r="D53" s="21" t="s">
        <v>609</v>
      </c>
      <c r="E53" s="21" t="s">
        <v>635</v>
      </c>
      <c r="F53" s="21" t="s">
        <v>519</v>
      </c>
      <c r="G53" s="21" t="s">
        <v>643</v>
      </c>
      <c r="H53" s="24"/>
      <c r="I53" s="10"/>
      <c r="J53" s="10"/>
    </row>
    <row r="54">
      <c r="A54" s="1"/>
      <c r="B54" s="21" t="str">
        <f t="shared" si="3"/>
        <v>Checkout step two-31</v>
      </c>
      <c r="C54" s="49"/>
      <c r="D54" s="21" t="s">
        <v>644</v>
      </c>
      <c r="E54" s="21" t="s">
        <v>635</v>
      </c>
      <c r="F54" s="21" t="s">
        <v>638</v>
      </c>
      <c r="G54" s="21" t="s">
        <v>645</v>
      </c>
      <c r="H54" s="24"/>
      <c r="I54" s="10"/>
      <c r="J54" s="10"/>
    </row>
    <row r="55">
      <c r="A55" s="1"/>
      <c r="B55" s="21" t="str">
        <f t="shared" si="3"/>
        <v>Checkout step two-32</v>
      </c>
      <c r="C55" s="49"/>
      <c r="D55" s="21" t="s">
        <v>611</v>
      </c>
      <c r="E55" s="21" t="s">
        <v>635</v>
      </c>
      <c r="F55" s="21" t="s">
        <v>515</v>
      </c>
      <c r="G55" s="21" t="s">
        <v>522</v>
      </c>
      <c r="H55" s="24"/>
      <c r="I55" s="10"/>
      <c r="J55" s="10"/>
    </row>
    <row r="56">
      <c r="A56" s="1"/>
      <c r="B56" s="21" t="str">
        <f t="shared" si="3"/>
        <v>Checkout step two-33</v>
      </c>
      <c r="C56" s="48"/>
      <c r="D56" s="21" t="s">
        <v>640</v>
      </c>
      <c r="E56" s="21" t="s">
        <v>635</v>
      </c>
      <c r="F56" s="21" t="s">
        <v>646</v>
      </c>
      <c r="G56" s="21" t="s">
        <v>522</v>
      </c>
      <c r="H56" s="24"/>
      <c r="I56" s="10"/>
      <c r="J56" s="10"/>
    </row>
    <row r="57">
      <c r="A57" s="1"/>
      <c r="B57" s="21" t="str">
        <f t="shared" si="3"/>
        <v>Checkout step two-34</v>
      </c>
      <c r="C57" s="47" t="s">
        <v>647</v>
      </c>
      <c r="D57" s="21" t="s">
        <v>609</v>
      </c>
      <c r="E57" s="21" t="s">
        <v>635</v>
      </c>
      <c r="F57" s="21" t="s">
        <v>648</v>
      </c>
      <c r="G57" s="21" t="s">
        <v>649</v>
      </c>
      <c r="H57" s="24"/>
      <c r="I57" s="10"/>
      <c r="J57" s="10"/>
    </row>
    <row r="58">
      <c r="A58" s="1"/>
      <c r="B58" s="21" t="str">
        <f t="shared" si="3"/>
        <v>Checkout step two-35</v>
      </c>
      <c r="C58" s="49"/>
      <c r="D58" s="21" t="s">
        <v>650</v>
      </c>
      <c r="E58" s="21" t="s">
        <v>635</v>
      </c>
      <c r="F58" s="21" t="s">
        <v>651</v>
      </c>
      <c r="G58" s="21" t="s">
        <v>652</v>
      </c>
      <c r="H58" s="24"/>
      <c r="I58" s="10"/>
      <c r="J58" s="10"/>
    </row>
    <row r="59">
      <c r="A59" s="1"/>
      <c r="B59" s="21" t="str">
        <f t="shared" si="3"/>
        <v>Checkout step two-36</v>
      </c>
      <c r="C59" s="49"/>
      <c r="D59" s="21" t="s">
        <v>653</v>
      </c>
      <c r="E59" s="21" t="s">
        <v>635</v>
      </c>
      <c r="F59" s="21" t="s">
        <v>654</v>
      </c>
      <c r="G59" s="21" t="s">
        <v>655</v>
      </c>
      <c r="H59" s="24"/>
      <c r="I59" s="10"/>
      <c r="J59" s="10"/>
    </row>
    <row r="60">
      <c r="A60" s="1"/>
      <c r="B60" s="21" t="str">
        <f t="shared" si="3"/>
        <v>Checkout step two-37</v>
      </c>
      <c r="C60" s="49"/>
      <c r="D60" s="21" t="s">
        <v>656</v>
      </c>
      <c r="E60" s="21" t="s">
        <v>635</v>
      </c>
      <c r="F60" s="21" t="s">
        <v>657</v>
      </c>
      <c r="G60" s="21" t="s">
        <v>658</v>
      </c>
      <c r="H60" s="24"/>
      <c r="I60" s="10"/>
      <c r="J60" s="10"/>
    </row>
    <row r="61">
      <c r="A61" s="1"/>
      <c r="B61" s="21" t="str">
        <f t="shared" si="3"/>
        <v>Checkout step two-38</v>
      </c>
      <c r="C61" s="49"/>
      <c r="D61" s="21" t="s">
        <v>659</v>
      </c>
      <c r="E61" s="21" t="s">
        <v>620</v>
      </c>
      <c r="F61" s="21" t="s">
        <v>660</v>
      </c>
      <c r="G61" s="21" t="s">
        <v>661</v>
      </c>
      <c r="H61" s="24"/>
      <c r="I61" s="10"/>
      <c r="J61" s="10"/>
    </row>
    <row r="62">
      <c r="A62" s="1"/>
      <c r="B62" s="21" t="str">
        <f t="shared" si="3"/>
        <v>Checkout step two-39</v>
      </c>
      <c r="C62" s="49"/>
      <c r="D62" s="21" t="s">
        <v>611</v>
      </c>
      <c r="E62" s="21" t="s">
        <v>635</v>
      </c>
      <c r="F62" s="21" t="s">
        <v>515</v>
      </c>
      <c r="G62" s="21" t="s">
        <v>522</v>
      </c>
      <c r="H62" s="24"/>
      <c r="I62" s="10"/>
      <c r="J62" s="10"/>
    </row>
    <row r="63">
      <c r="A63" s="1"/>
      <c r="B63" s="21" t="str">
        <f t="shared" si="3"/>
        <v>Checkout step two-40</v>
      </c>
      <c r="C63" s="48"/>
      <c r="D63" s="21" t="s">
        <v>662</v>
      </c>
      <c r="E63" s="21" t="s">
        <v>635</v>
      </c>
      <c r="F63" s="21" t="s">
        <v>663</v>
      </c>
      <c r="G63" s="21" t="s">
        <v>522</v>
      </c>
      <c r="H63" s="24"/>
      <c r="I63" s="10"/>
      <c r="J63" s="10"/>
    </row>
    <row r="64">
      <c r="A64" s="1"/>
      <c r="B64" s="21" t="str">
        <f t="shared" si="3"/>
        <v>Checkout step two-41</v>
      </c>
      <c r="C64" s="47" t="s">
        <v>590</v>
      </c>
      <c r="D64" s="21" t="s">
        <v>591</v>
      </c>
      <c r="E64" s="21" t="s">
        <v>635</v>
      </c>
      <c r="F64" s="21" t="s">
        <v>664</v>
      </c>
      <c r="G64" s="21" t="s">
        <v>665</v>
      </c>
      <c r="H64" s="24"/>
      <c r="I64" s="10"/>
      <c r="J64" s="10"/>
    </row>
    <row r="65">
      <c r="A65" s="1"/>
      <c r="B65" s="21" t="str">
        <f t="shared" si="3"/>
        <v>Checkout step two-42</v>
      </c>
      <c r="C65" s="49"/>
      <c r="D65" s="21" t="s">
        <v>505</v>
      </c>
      <c r="E65" s="21" t="s">
        <v>635</v>
      </c>
      <c r="F65" s="21" t="s">
        <v>666</v>
      </c>
      <c r="G65" s="21" t="s">
        <v>667</v>
      </c>
      <c r="H65" s="24"/>
      <c r="I65" s="10"/>
      <c r="J65" s="10"/>
    </row>
    <row r="66">
      <c r="A66" s="1"/>
      <c r="B66" s="21" t="str">
        <f t="shared" si="3"/>
        <v>Checkout step two-43</v>
      </c>
      <c r="C66" s="48"/>
      <c r="D66" s="21" t="s">
        <v>596</v>
      </c>
      <c r="E66" s="21" t="s">
        <v>668</v>
      </c>
      <c r="F66" s="21" t="s">
        <v>588</v>
      </c>
      <c r="G66" s="21" t="s">
        <v>669</v>
      </c>
      <c r="H66" s="24"/>
      <c r="I66" s="10"/>
      <c r="J66" s="10"/>
    </row>
    <row r="67">
      <c r="A67" s="1"/>
      <c r="B67" s="21" t="str">
        <f t="shared" si="3"/>
        <v>Checkout step two-44</v>
      </c>
      <c r="C67" s="47" t="s">
        <v>581</v>
      </c>
      <c r="D67" s="21" t="s">
        <v>562</v>
      </c>
      <c r="E67" s="21" t="s">
        <v>635</v>
      </c>
      <c r="F67" s="21" t="s">
        <v>670</v>
      </c>
      <c r="G67" s="21" t="s">
        <v>583</v>
      </c>
      <c r="H67" s="24"/>
      <c r="I67" s="10"/>
      <c r="J67" s="10"/>
    </row>
    <row r="68">
      <c r="A68" s="1"/>
      <c r="B68" s="21" t="str">
        <f t="shared" si="3"/>
        <v>Checkout step two-45</v>
      </c>
      <c r="C68" s="49"/>
      <c r="D68" s="21" t="s">
        <v>505</v>
      </c>
      <c r="E68" s="21" t="s">
        <v>635</v>
      </c>
      <c r="F68" s="21" t="s">
        <v>671</v>
      </c>
      <c r="G68" s="50" t="s">
        <v>672</v>
      </c>
      <c r="H68" s="24"/>
      <c r="I68" s="10"/>
      <c r="J68" s="10"/>
    </row>
    <row r="69">
      <c r="A69" s="1"/>
      <c r="B69" s="21" t="str">
        <f t="shared" si="3"/>
        <v>Checkout step two-46</v>
      </c>
      <c r="C69" s="48"/>
      <c r="D69" s="21" t="s">
        <v>530</v>
      </c>
      <c r="E69" s="21" t="s">
        <v>673</v>
      </c>
      <c r="F69" s="21" t="s">
        <v>674</v>
      </c>
      <c r="G69" s="21" t="s">
        <v>675</v>
      </c>
      <c r="H69" s="24"/>
      <c r="I69" s="10"/>
      <c r="J69" s="10"/>
    </row>
    <row r="70">
      <c r="A70" s="1"/>
      <c r="B70" s="21" t="str">
        <f t="shared" si="3"/>
        <v>Checkout step two-47</v>
      </c>
      <c r="C70" s="47" t="s">
        <v>676</v>
      </c>
      <c r="D70" s="21" t="s">
        <v>562</v>
      </c>
      <c r="E70" s="21" t="s">
        <v>635</v>
      </c>
      <c r="F70" s="21" t="s">
        <v>677</v>
      </c>
      <c r="G70" s="21" t="s">
        <v>678</v>
      </c>
      <c r="H70" s="24"/>
      <c r="I70" s="10"/>
      <c r="J70" s="10"/>
    </row>
    <row r="71">
      <c r="A71" s="1"/>
      <c r="B71" s="21" t="str">
        <f t="shared" si="3"/>
        <v>Checkout step two-48</v>
      </c>
      <c r="C71" s="48"/>
      <c r="D71" s="21" t="s">
        <v>679</v>
      </c>
      <c r="E71" s="21" t="s">
        <v>635</v>
      </c>
      <c r="F71" s="21" t="s">
        <v>680</v>
      </c>
      <c r="G71" s="21" t="s">
        <v>681</v>
      </c>
      <c r="H71" s="24"/>
      <c r="I71" s="10"/>
      <c r="J71" s="10"/>
    </row>
    <row r="72">
      <c r="A72" s="1"/>
      <c r="B72" s="21"/>
      <c r="C72" s="33"/>
      <c r="D72" s="33"/>
      <c r="E72" s="10"/>
      <c r="F72" s="10"/>
      <c r="G72" s="10"/>
      <c r="H72" s="24"/>
      <c r="I72" s="10"/>
      <c r="J72" s="10"/>
    </row>
    <row r="73">
      <c r="A73" s="1"/>
      <c r="B73" s="21"/>
      <c r="C73" s="33"/>
      <c r="D73" s="33"/>
      <c r="E73" s="10"/>
      <c r="F73" s="10"/>
      <c r="G73" s="10"/>
      <c r="H73" s="24"/>
      <c r="I73" s="10"/>
      <c r="J73" s="10"/>
    </row>
    <row r="74">
      <c r="A74" s="1"/>
      <c r="B74" s="21"/>
      <c r="C74" s="33"/>
      <c r="D74" s="33"/>
      <c r="E74" s="35"/>
      <c r="F74" s="36"/>
      <c r="G74" s="10"/>
      <c r="H74" s="24"/>
      <c r="I74" s="10"/>
      <c r="J74" s="10"/>
    </row>
    <row r="75">
      <c r="A75" s="1"/>
      <c r="B75" s="21"/>
      <c r="C75" s="33"/>
      <c r="D75" s="33"/>
      <c r="E75" s="29"/>
      <c r="F75" s="36"/>
      <c r="G75" s="10"/>
      <c r="H75" s="24"/>
      <c r="I75" s="10"/>
      <c r="J75" s="10"/>
    </row>
    <row r="76">
      <c r="A76" s="1"/>
      <c r="B76" s="21"/>
      <c r="C76" s="33"/>
      <c r="D76" s="33"/>
      <c r="E76" s="30"/>
      <c r="F76" s="36"/>
      <c r="G76" s="10"/>
      <c r="H76" s="24"/>
      <c r="I76" s="10"/>
      <c r="J76" s="10"/>
    </row>
    <row r="77">
      <c r="A77" s="1"/>
      <c r="B77" s="21"/>
      <c r="C77" s="33"/>
      <c r="D77" s="33"/>
      <c r="E77" s="10"/>
      <c r="F77" s="36"/>
      <c r="G77" s="10"/>
      <c r="H77" s="10"/>
      <c r="I77" s="10"/>
      <c r="J77" s="37"/>
    </row>
    <row r="78">
      <c r="A78" s="1"/>
      <c r="B78" s="21"/>
      <c r="C78" s="33"/>
      <c r="D78" s="33"/>
      <c r="E78" s="10"/>
      <c r="F78" s="36"/>
      <c r="G78" s="10"/>
      <c r="H78" s="10"/>
      <c r="I78" s="10"/>
      <c r="J78" s="37"/>
    </row>
    <row r="79">
      <c r="A79" s="1"/>
      <c r="B79" s="21"/>
      <c r="C79" s="33"/>
      <c r="D79" s="33"/>
      <c r="E79" s="10"/>
      <c r="F79" s="36"/>
      <c r="G79" s="10"/>
      <c r="H79" s="10"/>
      <c r="I79" s="10"/>
      <c r="J79" s="37"/>
    </row>
    <row r="80">
      <c r="A80" s="1"/>
      <c r="B80" s="21"/>
      <c r="C80" s="33"/>
      <c r="D80" s="33"/>
      <c r="E80" s="10"/>
      <c r="F80" s="10"/>
      <c r="G80" s="10"/>
      <c r="H80" s="10"/>
      <c r="I80" s="10"/>
      <c r="J80" s="37"/>
    </row>
    <row r="81">
      <c r="A81" s="1"/>
      <c r="B81" s="21"/>
      <c r="C81" s="33"/>
      <c r="D81" s="33"/>
      <c r="E81" s="10"/>
      <c r="F81" s="10"/>
      <c r="G81" s="10"/>
      <c r="H81" s="10"/>
      <c r="I81" s="10"/>
      <c r="J81" s="37"/>
    </row>
    <row r="82">
      <c r="A82" s="1"/>
      <c r="B82" s="21"/>
      <c r="C82" s="33"/>
      <c r="D82" s="33"/>
      <c r="E82" s="10"/>
      <c r="F82" s="10"/>
      <c r="G82" s="10"/>
      <c r="H82" s="10"/>
      <c r="I82" s="10"/>
      <c r="J82" s="37"/>
    </row>
    <row r="83">
      <c r="A83" s="1"/>
      <c r="B83" s="21"/>
      <c r="C83" s="33"/>
      <c r="D83" s="33"/>
      <c r="E83" s="10"/>
      <c r="F83" s="10"/>
      <c r="G83" s="10"/>
      <c r="H83" s="10"/>
      <c r="I83" s="10"/>
      <c r="J83" s="37"/>
    </row>
    <row r="84">
      <c r="A84" s="1"/>
      <c r="B84" s="21"/>
      <c r="C84" s="33"/>
      <c r="D84" s="33"/>
      <c r="E84" s="10"/>
      <c r="F84" s="10"/>
      <c r="G84" s="10"/>
      <c r="H84" s="10"/>
      <c r="I84" s="10"/>
      <c r="J84" s="37"/>
    </row>
    <row r="85">
      <c r="A85" s="1"/>
      <c r="B85" s="21"/>
      <c r="C85" s="33"/>
      <c r="D85" s="33"/>
      <c r="E85" s="10"/>
      <c r="F85" s="10"/>
      <c r="G85" s="10"/>
      <c r="H85" s="10"/>
      <c r="I85" s="10"/>
      <c r="J85" s="37"/>
    </row>
    <row r="86">
      <c r="A86" s="1"/>
      <c r="B86" s="21"/>
      <c r="C86" s="33"/>
      <c r="D86" s="33"/>
      <c r="E86" s="10"/>
      <c r="F86" s="10"/>
      <c r="G86" s="10"/>
      <c r="H86" s="10"/>
      <c r="I86" s="10"/>
      <c r="J86" s="37"/>
    </row>
    <row r="87">
      <c r="A87" s="1"/>
      <c r="B87" s="21"/>
      <c r="C87" s="33"/>
      <c r="D87" s="33"/>
      <c r="E87" s="10"/>
      <c r="F87" s="10"/>
      <c r="G87" s="10"/>
      <c r="H87" s="10"/>
      <c r="I87" s="10"/>
      <c r="J87" s="37"/>
    </row>
    <row r="88">
      <c r="A88" s="1"/>
      <c r="B88" s="21"/>
      <c r="C88" s="33"/>
      <c r="D88" s="33"/>
      <c r="E88" s="10"/>
      <c r="F88" s="10"/>
      <c r="G88" s="10"/>
      <c r="H88" s="10"/>
      <c r="I88" s="10"/>
      <c r="J88" s="37"/>
    </row>
    <row r="89">
      <c r="A89" s="38"/>
      <c r="B89" s="39"/>
      <c r="C89" s="33"/>
      <c r="D89" s="33"/>
      <c r="E89" s="34"/>
      <c r="F89" s="34"/>
      <c r="G89" s="34"/>
      <c r="H89" s="34"/>
      <c r="I89" s="34"/>
      <c r="J89" s="40"/>
    </row>
    <row r="90">
      <c r="A90" s="38"/>
      <c r="B90" s="39"/>
      <c r="C90" s="33"/>
      <c r="D90" s="33"/>
      <c r="E90" s="34"/>
      <c r="F90" s="34"/>
      <c r="G90" s="34"/>
      <c r="H90" s="34"/>
      <c r="I90" s="34"/>
      <c r="J90" s="40"/>
    </row>
    <row r="91">
      <c r="A91" s="1"/>
      <c r="B91" s="21"/>
      <c r="C91" s="33"/>
      <c r="D91" s="33"/>
      <c r="E91" s="10"/>
      <c r="F91" s="10"/>
      <c r="G91" s="10"/>
      <c r="H91" s="10"/>
      <c r="I91" s="10"/>
      <c r="J91" s="37"/>
    </row>
    <row r="92">
      <c r="A92" s="1"/>
      <c r="B92" s="21"/>
      <c r="C92" s="33"/>
      <c r="D92" s="33"/>
      <c r="E92" s="10"/>
      <c r="F92" s="10"/>
      <c r="G92" s="10"/>
      <c r="H92" s="10"/>
      <c r="I92" s="10"/>
      <c r="J92" s="37"/>
    </row>
    <row r="93">
      <c r="A93" s="1"/>
      <c r="B93" s="21"/>
      <c r="C93" s="33"/>
      <c r="D93" s="33"/>
      <c r="E93" s="10"/>
      <c r="F93" s="10"/>
      <c r="G93" s="10"/>
      <c r="H93" s="10"/>
      <c r="I93" s="10"/>
      <c r="J93" s="37"/>
    </row>
    <row r="94">
      <c r="A94" s="1"/>
      <c r="B94" s="21"/>
      <c r="C94" s="33"/>
      <c r="D94" s="33"/>
      <c r="E94" s="10"/>
      <c r="F94" s="10"/>
      <c r="G94" s="10"/>
      <c r="H94" s="10"/>
      <c r="I94" s="10"/>
      <c r="J94" s="37"/>
    </row>
    <row r="95">
      <c r="A95" s="1"/>
      <c r="B95" s="21"/>
      <c r="C95" s="33"/>
      <c r="D95" s="33"/>
      <c r="E95" s="10"/>
      <c r="F95" s="10"/>
      <c r="G95" s="10"/>
      <c r="H95" s="10"/>
      <c r="I95" s="10"/>
      <c r="J95" s="37"/>
    </row>
    <row r="96">
      <c r="A96" s="1"/>
      <c r="B96" s="21"/>
      <c r="C96" s="33"/>
      <c r="D96" s="33"/>
      <c r="E96" s="10"/>
      <c r="F96" s="10"/>
      <c r="G96" s="10"/>
      <c r="H96" s="10"/>
      <c r="I96" s="10"/>
      <c r="J96" s="37"/>
    </row>
    <row r="97">
      <c r="A97" s="1"/>
      <c r="B97" s="21"/>
      <c r="C97" s="33"/>
      <c r="D97" s="33"/>
      <c r="E97" s="10"/>
      <c r="F97" s="10"/>
      <c r="G97" s="10"/>
      <c r="H97" s="10"/>
      <c r="I97" s="10"/>
      <c r="J97" s="37"/>
    </row>
    <row r="98">
      <c r="A98" s="1"/>
      <c r="B98" s="21"/>
      <c r="C98" s="33"/>
      <c r="D98" s="33"/>
      <c r="E98" s="10"/>
      <c r="F98" s="10"/>
      <c r="G98" s="10"/>
      <c r="H98" s="10"/>
      <c r="I98" s="10"/>
      <c r="J98" s="37"/>
    </row>
    <row r="99">
      <c r="A99" s="1"/>
      <c r="B99" s="21"/>
      <c r="C99" s="33"/>
      <c r="D99" s="33"/>
      <c r="E99" s="10"/>
      <c r="F99" s="10"/>
      <c r="G99" s="10"/>
      <c r="H99" s="10"/>
      <c r="I99" s="10"/>
      <c r="J99" s="37"/>
    </row>
    <row r="100">
      <c r="A100" s="1"/>
      <c r="B100" s="21"/>
      <c r="C100" s="33"/>
      <c r="D100" s="33"/>
      <c r="E100" s="10"/>
      <c r="F100" s="10"/>
      <c r="G100" s="10"/>
      <c r="H100" s="10"/>
      <c r="I100" s="10"/>
      <c r="J100" s="37"/>
    </row>
    <row r="101">
      <c r="A101" s="1"/>
      <c r="B101" s="21"/>
      <c r="C101" s="33"/>
      <c r="D101" s="33"/>
      <c r="E101" s="10"/>
      <c r="F101" s="10"/>
      <c r="G101" s="10"/>
      <c r="H101" s="10"/>
      <c r="I101" s="10"/>
      <c r="J101" s="37"/>
    </row>
    <row r="102">
      <c r="A102" s="1"/>
      <c r="B102" s="21"/>
      <c r="C102" s="33"/>
      <c r="D102" s="33"/>
      <c r="E102" s="10"/>
      <c r="F102" s="10"/>
      <c r="G102" s="10"/>
      <c r="H102" s="10"/>
      <c r="I102" s="10"/>
      <c r="J102" s="37"/>
    </row>
    <row r="103">
      <c r="A103" s="1"/>
      <c r="B103" s="21"/>
      <c r="C103" s="33"/>
      <c r="D103" s="33"/>
      <c r="E103" s="10"/>
      <c r="F103" s="10"/>
      <c r="G103" s="10"/>
      <c r="H103" s="10"/>
      <c r="I103" s="10"/>
      <c r="J103" s="37"/>
    </row>
    <row r="104">
      <c r="A104" s="1"/>
      <c r="B104" s="21"/>
      <c r="C104" s="33"/>
      <c r="D104" s="33"/>
      <c r="E104" s="10"/>
      <c r="F104" s="10"/>
      <c r="G104" s="10"/>
      <c r="H104" s="10"/>
      <c r="I104" s="10"/>
      <c r="J104" s="37"/>
    </row>
    <row r="105">
      <c r="A105" s="1"/>
      <c r="B105" s="21"/>
      <c r="C105" s="33"/>
      <c r="D105" s="33"/>
      <c r="E105" s="10"/>
      <c r="F105" s="10"/>
      <c r="G105" s="10"/>
      <c r="H105" s="10"/>
      <c r="I105" s="10"/>
      <c r="J105" s="37"/>
    </row>
    <row r="106">
      <c r="A106" s="1"/>
      <c r="B106" s="21"/>
      <c r="C106" s="33"/>
      <c r="D106" s="33"/>
      <c r="E106" s="10"/>
      <c r="F106" s="10"/>
      <c r="G106" s="10"/>
      <c r="H106" s="10"/>
      <c r="I106" s="10"/>
      <c r="J106" s="37"/>
    </row>
    <row r="107">
      <c r="A107" s="1"/>
      <c r="B107" s="21"/>
      <c r="C107" s="33"/>
      <c r="D107" s="33"/>
      <c r="E107" s="10"/>
      <c r="F107" s="10"/>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1"/>
      <c r="B113" s="21"/>
      <c r="C113" s="33"/>
      <c r="D113" s="33"/>
      <c r="E113" s="10"/>
      <c r="F113" s="10"/>
      <c r="G113" s="10"/>
      <c r="H113" s="10"/>
      <c r="I113" s="10"/>
      <c r="J113" s="37"/>
    </row>
    <row r="114">
      <c r="A114" s="1"/>
      <c r="B114" s="21"/>
      <c r="C114" s="33"/>
      <c r="D114" s="33"/>
      <c r="E114" s="10"/>
      <c r="F114" s="10"/>
      <c r="G114" s="10"/>
      <c r="H114" s="10"/>
      <c r="I114" s="10"/>
      <c r="J114" s="37"/>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1"/>
      <c r="B117" s="21"/>
      <c r="C117" s="33"/>
      <c r="D117" s="33"/>
      <c r="E117" s="10"/>
      <c r="F117" s="10"/>
      <c r="G117" s="10"/>
      <c r="H117" s="10"/>
      <c r="I117" s="10"/>
      <c r="J117" s="37"/>
    </row>
    <row r="118">
      <c r="A118" s="1"/>
      <c r="B118" s="21"/>
      <c r="C118" s="33"/>
      <c r="D118" s="33"/>
      <c r="E118" s="10"/>
      <c r="F118" s="10"/>
      <c r="G118" s="10"/>
      <c r="H118" s="10"/>
      <c r="I118" s="10"/>
      <c r="J118" s="37"/>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38"/>
      <c r="B122" s="39"/>
      <c r="C122" s="33"/>
      <c r="D122" s="33"/>
      <c r="E122" s="34"/>
      <c r="F122" s="34"/>
      <c r="G122" s="34"/>
      <c r="H122" s="34"/>
      <c r="I122" s="34"/>
      <c r="J122" s="40"/>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38"/>
      <c r="B126" s="39"/>
      <c r="C126" s="33"/>
      <c r="D126" s="33"/>
      <c r="E126" s="34"/>
      <c r="F126" s="34"/>
      <c r="G126" s="34"/>
      <c r="H126" s="34"/>
      <c r="I126" s="34"/>
      <c r="J126" s="40"/>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1"/>
      <c r="B130" s="21"/>
      <c r="C130" s="33"/>
      <c r="D130" s="33"/>
      <c r="E130" s="10"/>
      <c r="F130" s="10"/>
      <c r="G130" s="10"/>
      <c r="H130" s="10"/>
      <c r="I130" s="10"/>
      <c r="J130" s="37"/>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38"/>
      <c r="B134" s="39"/>
      <c r="C134" s="33"/>
      <c r="D134" s="33"/>
      <c r="E134" s="34"/>
      <c r="F134" s="34"/>
      <c r="G134" s="34"/>
      <c r="H134" s="34"/>
      <c r="I134" s="34"/>
      <c r="J134" s="40"/>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1"/>
      <c r="B138" s="21"/>
      <c r="C138" s="33"/>
      <c r="D138" s="33"/>
      <c r="E138" s="10"/>
      <c r="F138" s="10"/>
      <c r="G138" s="10"/>
      <c r="H138" s="10"/>
      <c r="I138" s="10"/>
      <c r="J138" s="37"/>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1"/>
      <c r="B146" s="21"/>
      <c r="C146" s="33"/>
      <c r="D146" s="33"/>
      <c r="E146" s="10"/>
      <c r="F146" s="10"/>
      <c r="G146" s="10"/>
      <c r="H146" s="10"/>
      <c r="I146" s="10"/>
      <c r="J146" s="37"/>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1"/>
      <c r="B150" s="21"/>
      <c r="C150" s="33"/>
      <c r="D150" s="33"/>
      <c r="E150" s="10"/>
      <c r="F150" s="10"/>
      <c r="G150" s="10"/>
      <c r="H150" s="10"/>
      <c r="I150" s="10"/>
      <c r="J150" s="37"/>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1"/>
      <c r="B154" s="21"/>
      <c r="C154" s="33"/>
      <c r="D154" s="33"/>
      <c r="E154" s="10"/>
      <c r="F154" s="10"/>
      <c r="G154" s="10"/>
      <c r="H154" s="10"/>
      <c r="I154" s="10"/>
      <c r="J154" s="37"/>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1"/>
      <c r="B158" s="21"/>
      <c r="C158" s="33"/>
      <c r="D158" s="33"/>
      <c r="E158" s="10"/>
      <c r="F158" s="10"/>
      <c r="G158" s="10"/>
      <c r="H158" s="10"/>
      <c r="I158" s="10"/>
      <c r="J158" s="37"/>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1"/>
      <c r="B162" s="21"/>
      <c r="C162" s="33"/>
      <c r="D162" s="33"/>
      <c r="E162" s="10"/>
      <c r="F162" s="10"/>
      <c r="G162" s="10"/>
      <c r="H162" s="10"/>
      <c r="I162" s="10"/>
      <c r="J162" s="37"/>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10"/>
      <c r="J185" s="37"/>
    </row>
    <row r="186">
      <c r="A186" s="1"/>
      <c r="B186" s="21"/>
      <c r="C186" s="33"/>
      <c r="D186" s="33"/>
      <c r="E186" s="10"/>
      <c r="F186" s="10"/>
      <c r="G186" s="10"/>
      <c r="H186" s="10"/>
      <c r="I186" s="10"/>
      <c r="J186" s="37"/>
    </row>
    <row r="187">
      <c r="A187" s="1"/>
      <c r="B187" s="21"/>
      <c r="C187" s="33"/>
      <c r="D187" s="33"/>
      <c r="E187" s="10"/>
      <c r="F187" s="10"/>
      <c r="G187" s="10"/>
      <c r="H187" s="10"/>
      <c r="I187" s="10"/>
      <c r="J187" s="37"/>
    </row>
    <row r="188">
      <c r="A188" s="1"/>
      <c r="B188" s="21"/>
      <c r="C188" s="33"/>
      <c r="D188" s="33"/>
      <c r="E188" s="10"/>
      <c r="F188" s="10"/>
      <c r="G188" s="10"/>
      <c r="H188" s="10"/>
      <c r="I188" s="10"/>
      <c r="J188" s="37"/>
    </row>
    <row r="189">
      <c r="A189" s="1"/>
      <c r="B189" s="21"/>
      <c r="C189" s="33"/>
      <c r="D189" s="33"/>
      <c r="E189" s="10"/>
      <c r="F189" s="10"/>
      <c r="G189" s="10"/>
      <c r="H189" s="10"/>
      <c r="I189" s="37"/>
      <c r="J189" s="37"/>
    </row>
    <row r="190">
      <c r="A190" s="1"/>
      <c r="B190" s="21"/>
      <c r="C190" s="33"/>
      <c r="D190" s="33"/>
      <c r="E190" s="10"/>
      <c r="F190" s="10"/>
      <c r="G190" s="10"/>
      <c r="H190" s="10"/>
      <c r="I190" s="37"/>
      <c r="J190" s="37"/>
    </row>
    <row r="191">
      <c r="A191" s="1"/>
      <c r="B191" s="21"/>
      <c r="C191" s="33"/>
      <c r="D191" s="33"/>
      <c r="E191" s="10"/>
      <c r="F191" s="10"/>
      <c r="G191" s="10"/>
      <c r="H191" s="10"/>
      <c r="I191" s="37"/>
      <c r="J191" s="37"/>
    </row>
  </sheetData>
  <mergeCells count="13">
    <mergeCell ref="C53:C56"/>
    <mergeCell ref="C57:C63"/>
    <mergeCell ref="C64:C66"/>
    <mergeCell ref="C67:C69"/>
    <mergeCell ref="C70:C71"/>
    <mergeCell ref="E74:E76"/>
    <mergeCell ref="C25:C29"/>
    <mergeCell ref="C30:C31"/>
    <mergeCell ref="C32:C33"/>
    <mergeCell ref="C34:C35"/>
    <mergeCell ref="C36:C37"/>
    <mergeCell ref="C38:C48"/>
    <mergeCell ref="C49:C52"/>
  </mergeCells>
  <dataValidations>
    <dataValidation type="list" allowBlank="1" sqref="H189:H191">
      <formula1>#REF!</formula1>
    </dataValidation>
    <dataValidation type="list" allowBlank="1" showErrorMessage="1" sqref="I24:I191">
      <formula1>"正常系,異常系"</formula1>
    </dataValidation>
    <dataValidation type="list" allowBlank="1" sqref="H24:H188">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191">
      <formula1>"低,中,高"</formula1>
    </dataValidation>
  </dataValidations>
  <hyperlinks>
    <hyperlink r:id="rId1" ref="B22"/>
    <hyperlink r:id="rId2" ref="G2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25"/>
    <col customWidth="1" min="3" max="3" width="16.0"/>
    <col customWidth="1" min="4" max="4" width="15.88"/>
    <col customWidth="1" min="5" max="5" width="20.75"/>
    <col customWidth="1" min="6" max="6" width="27.25"/>
    <col customWidth="1" min="7" max="7" width="36.13"/>
    <col customWidth="1" min="8" max="8" width="17.88"/>
    <col customWidth="1" min="9" max="9" width="11.5"/>
  </cols>
  <sheetData>
    <row r="1">
      <c r="A1" s="1"/>
      <c r="B1" s="1"/>
      <c r="C1" s="1"/>
      <c r="D1" s="1"/>
      <c r="E1" s="1"/>
      <c r="F1" s="1"/>
      <c r="G1" s="1"/>
      <c r="H1" s="2" t="s">
        <v>0</v>
      </c>
      <c r="I1" s="3">
        <f>COUNTIF(G24:G207,"*")</f>
        <v>25</v>
      </c>
      <c r="J1" s="1"/>
    </row>
    <row r="2">
      <c r="A2" s="1"/>
      <c r="B2" s="4" t="s">
        <v>1</v>
      </c>
      <c r="C2" s="5" t="s">
        <v>682</v>
      </c>
      <c r="D2" s="4" t="s">
        <v>3</v>
      </c>
      <c r="E2" s="6">
        <v>46201.0</v>
      </c>
      <c r="F2" s="1"/>
      <c r="G2" s="1"/>
      <c r="H2" s="2" t="s">
        <v>4</v>
      </c>
      <c r="I2" s="3">
        <f>I1*I3</f>
        <v>0</v>
      </c>
      <c r="J2" s="1"/>
    </row>
    <row r="3">
      <c r="A3" s="1"/>
      <c r="B3" s="4" t="s">
        <v>5</v>
      </c>
      <c r="C3" s="3" t="s">
        <v>6</v>
      </c>
      <c r="D3" s="4" t="s">
        <v>7</v>
      </c>
      <c r="E3" s="3"/>
      <c r="F3" s="7" t="s">
        <v>8</v>
      </c>
      <c r="G3" s="1"/>
      <c r="H3" s="2" t="s">
        <v>9</v>
      </c>
      <c r="I3" s="3">
        <f>SUM(K11:V11)</f>
        <v>0</v>
      </c>
      <c r="J3" s="1"/>
    </row>
    <row r="4">
      <c r="A4" s="1"/>
      <c r="B4" s="1"/>
      <c r="C4" s="1"/>
      <c r="D4" s="1"/>
      <c r="E4" s="1"/>
      <c r="F4" s="1"/>
      <c r="G4" s="1"/>
      <c r="H4" s="2" t="s">
        <v>10</v>
      </c>
      <c r="I4" s="3">
        <f>SUM(K13:V13)</f>
        <v>0</v>
      </c>
      <c r="J4" s="1"/>
    </row>
    <row r="5">
      <c r="A5" s="1"/>
      <c r="B5" s="4" t="s">
        <v>11</v>
      </c>
      <c r="C5" s="4" t="s">
        <v>12</v>
      </c>
      <c r="D5" s="4" t="s">
        <v>13</v>
      </c>
      <c r="E5" s="4" t="s">
        <v>14</v>
      </c>
      <c r="F5" s="1"/>
      <c r="G5" s="8" t="s">
        <v>15</v>
      </c>
      <c r="H5" s="9" t="s">
        <v>16</v>
      </c>
      <c r="I5" s="3">
        <f>I2-I4+I7</f>
        <v>0</v>
      </c>
      <c r="J5" s="1"/>
    </row>
    <row r="6">
      <c r="A6" s="1"/>
      <c r="B6" s="3">
        <v>1.0</v>
      </c>
      <c r="C6" s="10" t="s">
        <v>17</v>
      </c>
      <c r="D6" s="11">
        <f t="shared" ref="D6:D7" si="1">COUNTIF($I$24:$I$207,$C6)</f>
        <v>0</v>
      </c>
      <c r="E6" s="12"/>
      <c r="F6" s="1"/>
      <c r="G6" s="1"/>
      <c r="H6" s="2" t="s">
        <v>18</v>
      </c>
      <c r="I6" s="3">
        <f>SUM(K15:V15)</f>
        <v>0</v>
      </c>
      <c r="J6" s="1"/>
    </row>
    <row r="7">
      <c r="A7" s="1"/>
      <c r="B7" s="3">
        <v>2.0</v>
      </c>
      <c r="C7" s="10" t="s">
        <v>19</v>
      </c>
      <c r="D7" s="11">
        <f t="shared" si="1"/>
        <v>0</v>
      </c>
      <c r="E7" s="12"/>
      <c r="F7" s="1"/>
      <c r="G7" s="8" t="s">
        <v>20</v>
      </c>
      <c r="H7" s="13" t="s">
        <v>21</v>
      </c>
      <c r="I7" s="3">
        <f>sum(K17:V17)</f>
        <v>0</v>
      </c>
      <c r="J7" s="1"/>
    </row>
    <row r="8">
      <c r="A8" s="1"/>
      <c r="B8" s="1"/>
      <c r="C8" s="1"/>
      <c r="D8" s="1"/>
      <c r="E8" s="1"/>
      <c r="F8" s="1"/>
      <c r="G8" s="8" t="s">
        <v>22</v>
      </c>
      <c r="H8" s="4" t="s">
        <v>23</v>
      </c>
      <c r="I8" s="3">
        <f>SUM(K19:V19)</f>
        <v>0</v>
      </c>
      <c r="J8" s="1"/>
    </row>
    <row r="9">
      <c r="A9" s="1"/>
      <c r="B9" s="4" t="s">
        <v>11</v>
      </c>
      <c r="C9" s="4" t="s">
        <v>24</v>
      </c>
      <c r="D9" s="4" t="s">
        <v>13</v>
      </c>
      <c r="E9" s="4" t="s">
        <v>14</v>
      </c>
      <c r="F9" s="1"/>
      <c r="G9" s="1"/>
      <c r="H9" s="4" t="s">
        <v>25</v>
      </c>
      <c r="I9" s="3">
        <f>SUM(K21:V21)</f>
        <v>0</v>
      </c>
      <c r="J9" s="1"/>
    </row>
    <row r="10">
      <c r="A10" s="1"/>
      <c r="B10" s="3">
        <v>1.0</v>
      </c>
      <c r="C10" s="10" t="s">
        <v>26</v>
      </c>
      <c r="D10" s="11">
        <f t="shared" ref="D10:D18" si="2">COUNTIF($H$24:$H$207,$C10)</f>
        <v>0</v>
      </c>
      <c r="E10" s="12"/>
      <c r="F10" s="44"/>
      <c r="G10" s="1"/>
      <c r="H10" s="1"/>
      <c r="I10" s="1"/>
      <c r="J10" s="1"/>
    </row>
    <row r="11">
      <c r="A11" s="1"/>
      <c r="B11" s="3">
        <v>2.0</v>
      </c>
      <c r="C11" s="10" t="s">
        <v>27</v>
      </c>
      <c r="D11" s="11">
        <f t="shared" si="2"/>
        <v>0</v>
      </c>
      <c r="E11" s="12"/>
      <c r="G11" s="1"/>
      <c r="H11" s="1"/>
      <c r="I11" s="1"/>
      <c r="J11" s="1"/>
    </row>
    <row r="12">
      <c r="A12" s="1"/>
      <c r="B12" s="3">
        <v>3.0</v>
      </c>
      <c r="C12" s="10" t="s">
        <v>28</v>
      </c>
      <c r="D12" s="14">
        <f t="shared" si="2"/>
        <v>0</v>
      </c>
      <c r="E12" s="10" t="s">
        <v>29</v>
      </c>
      <c r="F12" s="43"/>
      <c r="G12" s="1"/>
      <c r="H12" s="1"/>
      <c r="I12" s="1"/>
      <c r="J12" s="1"/>
    </row>
    <row r="13">
      <c r="A13" s="1"/>
      <c r="B13" s="3">
        <v>4.0</v>
      </c>
      <c r="C13" s="10" t="s">
        <v>30</v>
      </c>
      <c r="D13" s="11">
        <f t="shared" si="2"/>
        <v>0</v>
      </c>
      <c r="E13" s="12"/>
      <c r="F13" s="43"/>
      <c r="G13" s="1"/>
      <c r="H13" s="1"/>
      <c r="I13" s="1"/>
      <c r="J13" s="1"/>
    </row>
    <row r="14">
      <c r="A14" s="1"/>
      <c r="B14" s="3">
        <v>5.0</v>
      </c>
      <c r="C14" s="10" t="s">
        <v>31</v>
      </c>
      <c r="D14" s="14">
        <f t="shared" si="2"/>
        <v>0</v>
      </c>
      <c r="E14" s="10" t="s">
        <v>29</v>
      </c>
      <c r="F14" s="43"/>
      <c r="G14" s="1"/>
      <c r="H14" s="1"/>
      <c r="I14" s="1"/>
      <c r="J14" s="1"/>
    </row>
    <row r="15">
      <c r="A15" s="1"/>
      <c r="B15" s="3">
        <v>6.0</v>
      </c>
      <c r="C15" s="10" t="s">
        <v>32</v>
      </c>
      <c r="D15" s="14">
        <f t="shared" si="2"/>
        <v>0</v>
      </c>
      <c r="E15" s="10" t="s">
        <v>29</v>
      </c>
      <c r="F15" s="43"/>
      <c r="G15" s="1"/>
      <c r="H15" s="1"/>
      <c r="I15" s="1"/>
      <c r="J15" s="1"/>
    </row>
    <row r="16">
      <c r="A16" s="1"/>
      <c r="B16" s="3">
        <v>7.0</v>
      </c>
      <c r="C16" s="10" t="s">
        <v>33</v>
      </c>
      <c r="D16" s="11">
        <f t="shared" si="2"/>
        <v>0</v>
      </c>
      <c r="E16" s="12"/>
      <c r="F16" s="60"/>
      <c r="G16" s="1"/>
      <c r="H16" s="1"/>
      <c r="I16" s="1"/>
      <c r="J16" s="1"/>
    </row>
    <row r="17">
      <c r="A17" s="1"/>
      <c r="B17" s="3">
        <v>8.0</v>
      </c>
      <c r="C17" s="10" t="s">
        <v>34</v>
      </c>
      <c r="D17" s="11">
        <f t="shared" si="2"/>
        <v>0</v>
      </c>
      <c r="E17" s="12"/>
      <c r="F17" s="44"/>
      <c r="G17" s="1"/>
      <c r="H17" s="1"/>
      <c r="I17" s="1"/>
      <c r="J17" s="1"/>
    </row>
    <row r="18">
      <c r="A18" s="1"/>
      <c r="B18" s="3">
        <v>9.0</v>
      </c>
      <c r="C18" s="10" t="s">
        <v>35</v>
      </c>
      <c r="D18" s="11">
        <f t="shared" si="2"/>
        <v>0</v>
      </c>
      <c r="E18" s="12"/>
      <c r="G18" s="1"/>
      <c r="H18" s="1"/>
      <c r="I18" s="1"/>
      <c r="J18" s="1"/>
    </row>
    <row r="19">
      <c r="A19" s="1"/>
      <c r="B19" s="1"/>
      <c r="C19" s="1"/>
      <c r="D19" s="1"/>
      <c r="E19" s="1"/>
      <c r="F19" s="44"/>
      <c r="G19" s="1"/>
      <c r="H19" s="1"/>
      <c r="I19" s="1"/>
      <c r="J19" s="15"/>
    </row>
    <row r="20">
      <c r="A20" s="1"/>
      <c r="B20" s="1"/>
      <c r="C20" s="1"/>
      <c r="D20" s="1"/>
      <c r="F20" s="44"/>
      <c r="G20" s="1"/>
      <c r="H20" s="1"/>
      <c r="I20" s="1"/>
      <c r="J20" s="1"/>
    </row>
    <row r="21">
      <c r="A21" s="1"/>
      <c r="B21" s="1"/>
      <c r="C21" s="1"/>
      <c r="D21" s="1"/>
      <c r="E21" s="1"/>
      <c r="F21" s="44"/>
      <c r="G21" s="1"/>
      <c r="H21" s="1"/>
      <c r="I21" s="1"/>
      <c r="J21" s="1"/>
    </row>
    <row r="22">
      <c r="A22" s="1"/>
      <c r="B22" s="16" t="s">
        <v>683</v>
      </c>
      <c r="C22" s="17"/>
      <c r="D22" s="17"/>
      <c r="E22" s="17"/>
      <c r="F22" s="44"/>
      <c r="G22" s="17"/>
      <c r="H22" s="17"/>
      <c r="I22" s="17"/>
      <c r="J22" s="17"/>
    </row>
    <row r="23">
      <c r="A23" s="1"/>
      <c r="B23" s="18" t="s">
        <v>37</v>
      </c>
      <c r="C23" s="20" t="s">
        <v>38</v>
      </c>
      <c r="D23" s="20" t="s">
        <v>39</v>
      </c>
      <c r="E23" s="20" t="s">
        <v>40</v>
      </c>
      <c r="F23" s="61" t="s">
        <v>41</v>
      </c>
      <c r="G23" s="20" t="s">
        <v>42</v>
      </c>
      <c r="H23" s="20" t="s">
        <v>43</v>
      </c>
      <c r="I23" s="20" t="s">
        <v>12</v>
      </c>
      <c r="J23" s="20" t="s">
        <v>44</v>
      </c>
    </row>
    <row r="24">
      <c r="A24" s="1"/>
      <c r="B24" s="21" t="str">
        <f t="shared" ref="B24:B48" si="3">$C$2 &amp; "-" &amp; ROW()-23</f>
        <v>Checkout Complete-1</v>
      </c>
      <c r="C24" s="21" t="s">
        <v>505</v>
      </c>
      <c r="D24" s="21" t="s">
        <v>684</v>
      </c>
      <c r="E24" s="21" t="s">
        <v>685</v>
      </c>
      <c r="F24" s="21" t="s">
        <v>680</v>
      </c>
      <c r="G24" s="21" t="s">
        <v>681</v>
      </c>
      <c r="H24" s="24"/>
      <c r="I24" s="10"/>
      <c r="J24" s="10"/>
    </row>
    <row r="25">
      <c r="A25" s="1"/>
      <c r="B25" s="21" t="str">
        <f t="shared" si="3"/>
        <v>Checkout Complete-2</v>
      </c>
      <c r="C25" s="47" t="s">
        <v>207</v>
      </c>
      <c r="D25" s="21" t="s">
        <v>208</v>
      </c>
      <c r="E25" s="21" t="s">
        <v>202</v>
      </c>
      <c r="F25" s="21" t="s">
        <v>209</v>
      </c>
      <c r="G25" s="21" t="s">
        <v>210</v>
      </c>
      <c r="H25" s="24"/>
      <c r="I25" s="10"/>
      <c r="J25" s="10"/>
    </row>
    <row r="26">
      <c r="A26" s="1"/>
      <c r="B26" s="21" t="str">
        <f t="shared" si="3"/>
        <v>Checkout Complete-3</v>
      </c>
      <c r="C26" s="49"/>
      <c r="D26" s="21" t="s">
        <v>211</v>
      </c>
      <c r="E26" s="21" t="s">
        <v>202</v>
      </c>
      <c r="F26" s="21" t="s">
        <v>212</v>
      </c>
      <c r="G26" s="21" t="s">
        <v>213</v>
      </c>
      <c r="H26" s="24"/>
      <c r="I26" s="10"/>
      <c r="J26" s="10"/>
    </row>
    <row r="27">
      <c r="A27" s="1"/>
      <c r="B27" s="21" t="str">
        <f t="shared" si="3"/>
        <v>Checkout Complete-4</v>
      </c>
      <c r="C27" s="49"/>
      <c r="D27" s="21" t="s">
        <v>214</v>
      </c>
      <c r="E27" s="21" t="s">
        <v>215</v>
      </c>
      <c r="F27" s="21" t="s">
        <v>216</v>
      </c>
      <c r="G27" s="21" t="s">
        <v>217</v>
      </c>
      <c r="H27" s="24"/>
      <c r="I27" s="10"/>
      <c r="J27" s="10"/>
    </row>
    <row r="28">
      <c r="A28" s="1"/>
      <c r="B28" s="21" t="str">
        <f t="shared" si="3"/>
        <v>Checkout Complete-5</v>
      </c>
      <c r="C28" s="49"/>
      <c r="D28" s="21" t="s">
        <v>218</v>
      </c>
      <c r="E28" s="21" t="s">
        <v>215</v>
      </c>
      <c r="F28" s="50" t="s">
        <v>219</v>
      </c>
      <c r="G28" s="46" t="s">
        <v>686</v>
      </c>
      <c r="H28" s="24"/>
      <c r="I28" s="10"/>
      <c r="J28" s="10"/>
    </row>
    <row r="29">
      <c r="A29" s="1"/>
      <c r="B29" s="21" t="str">
        <f t="shared" si="3"/>
        <v>Checkout Complete-6</v>
      </c>
      <c r="C29" s="48"/>
      <c r="D29" s="21" t="s">
        <v>221</v>
      </c>
      <c r="E29" s="21" t="s">
        <v>215</v>
      </c>
      <c r="F29" s="21" t="s">
        <v>222</v>
      </c>
      <c r="G29" s="21" t="s">
        <v>223</v>
      </c>
      <c r="H29" s="24"/>
      <c r="I29" s="10"/>
      <c r="J29" s="10"/>
    </row>
    <row r="30">
      <c r="A30" s="1"/>
      <c r="B30" s="21" t="str">
        <f t="shared" si="3"/>
        <v>Checkout Complete-7</v>
      </c>
      <c r="C30" s="47" t="s">
        <v>511</v>
      </c>
      <c r="D30" s="21" t="s">
        <v>201</v>
      </c>
      <c r="E30" s="21" t="s">
        <v>687</v>
      </c>
      <c r="F30" s="21" t="s">
        <v>519</v>
      </c>
      <c r="G30" s="21" t="s">
        <v>54</v>
      </c>
      <c r="H30" s="24"/>
      <c r="I30" s="10"/>
      <c r="J30" s="10"/>
    </row>
    <row r="31">
      <c r="A31" s="1"/>
      <c r="B31" s="21" t="str">
        <f t="shared" si="3"/>
        <v>Checkout Complete-8</v>
      </c>
      <c r="C31" s="48"/>
      <c r="D31" s="21" t="s">
        <v>514</v>
      </c>
      <c r="E31" s="21" t="s">
        <v>687</v>
      </c>
      <c r="F31" s="21" t="s">
        <v>515</v>
      </c>
      <c r="G31" s="21" t="s">
        <v>522</v>
      </c>
      <c r="H31" s="24"/>
      <c r="I31" s="10"/>
      <c r="J31" s="10"/>
    </row>
    <row r="32">
      <c r="A32" s="1"/>
      <c r="B32" s="21" t="str">
        <f t="shared" si="3"/>
        <v>Checkout Complete-9</v>
      </c>
      <c r="C32" s="47" t="s">
        <v>688</v>
      </c>
      <c r="D32" s="21" t="s">
        <v>609</v>
      </c>
      <c r="E32" s="21" t="s">
        <v>687</v>
      </c>
      <c r="F32" s="21" t="s">
        <v>519</v>
      </c>
      <c r="G32" s="21" t="s">
        <v>689</v>
      </c>
      <c r="H32" s="24"/>
      <c r="I32" s="10"/>
      <c r="J32" s="10"/>
    </row>
    <row r="33">
      <c r="A33" s="1"/>
      <c r="B33" s="21" t="str">
        <f t="shared" si="3"/>
        <v>Checkout Complete-10</v>
      </c>
      <c r="C33" s="48"/>
      <c r="D33" s="21" t="s">
        <v>611</v>
      </c>
      <c r="E33" s="21" t="s">
        <v>687</v>
      </c>
      <c r="F33" s="21" t="s">
        <v>515</v>
      </c>
      <c r="G33" s="21" t="s">
        <v>522</v>
      </c>
      <c r="H33" s="24"/>
      <c r="I33" s="10"/>
      <c r="J33" s="10"/>
    </row>
    <row r="34">
      <c r="A34" s="1"/>
      <c r="B34" s="21" t="str">
        <f t="shared" si="3"/>
        <v>Checkout Complete-11</v>
      </c>
      <c r="C34" s="47" t="s">
        <v>690</v>
      </c>
      <c r="D34" s="21" t="s">
        <v>691</v>
      </c>
      <c r="E34" s="21" t="s">
        <v>687</v>
      </c>
      <c r="F34" s="21" t="s">
        <v>692</v>
      </c>
      <c r="G34" s="21" t="s">
        <v>693</v>
      </c>
      <c r="H34" s="24"/>
      <c r="I34" s="10"/>
      <c r="J34" s="10"/>
    </row>
    <row r="35">
      <c r="A35" s="1"/>
      <c r="B35" s="21" t="str">
        <f t="shared" si="3"/>
        <v>Checkout Complete-12</v>
      </c>
      <c r="C35" s="48"/>
      <c r="D35" s="21" t="s">
        <v>694</v>
      </c>
      <c r="E35" s="21" t="s">
        <v>687</v>
      </c>
      <c r="F35" s="21" t="s">
        <v>695</v>
      </c>
      <c r="G35" s="21" t="s">
        <v>522</v>
      </c>
      <c r="H35" s="24"/>
      <c r="I35" s="10"/>
      <c r="J35" s="10"/>
    </row>
    <row r="36">
      <c r="A36" s="1"/>
      <c r="B36" s="21" t="str">
        <f t="shared" si="3"/>
        <v>Checkout Complete-13</v>
      </c>
      <c r="C36" s="47" t="s">
        <v>696</v>
      </c>
      <c r="D36" s="21" t="s">
        <v>697</v>
      </c>
      <c r="E36" s="21" t="s">
        <v>687</v>
      </c>
      <c r="F36" s="21" t="s">
        <v>698</v>
      </c>
      <c r="G36" s="21" t="s">
        <v>699</v>
      </c>
      <c r="H36" s="24"/>
      <c r="I36" s="10"/>
      <c r="J36" s="10"/>
    </row>
    <row r="37">
      <c r="A37" s="1"/>
      <c r="B37" s="21" t="str">
        <f t="shared" si="3"/>
        <v>Checkout Complete-14</v>
      </c>
      <c r="C37" s="48"/>
      <c r="D37" s="21" t="s">
        <v>700</v>
      </c>
      <c r="E37" s="21" t="s">
        <v>687</v>
      </c>
      <c r="F37" s="21" t="s">
        <v>701</v>
      </c>
      <c r="G37" s="21" t="s">
        <v>522</v>
      </c>
      <c r="H37" s="24"/>
      <c r="I37" s="10"/>
      <c r="J37" s="10"/>
    </row>
    <row r="38">
      <c r="A38" s="1"/>
      <c r="B38" s="21" t="str">
        <f t="shared" si="3"/>
        <v>Checkout Complete-15</v>
      </c>
      <c r="C38" s="47" t="s">
        <v>702</v>
      </c>
      <c r="D38" s="21" t="s">
        <v>703</v>
      </c>
      <c r="E38" s="21" t="s">
        <v>687</v>
      </c>
      <c r="F38" s="21" t="s">
        <v>704</v>
      </c>
      <c r="G38" s="21" t="s">
        <v>705</v>
      </c>
      <c r="H38" s="24"/>
      <c r="I38" s="10"/>
      <c r="J38" s="10"/>
    </row>
    <row r="39">
      <c r="A39" s="1"/>
      <c r="B39" s="21" t="str">
        <f t="shared" si="3"/>
        <v>Checkout Complete-16</v>
      </c>
      <c r="C39" s="48"/>
      <c r="D39" s="21" t="s">
        <v>706</v>
      </c>
      <c r="E39" s="21" t="s">
        <v>687</v>
      </c>
      <c r="F39" s="21" t="s">
        <v>707</v>
      </c>
      <c r="G39" s="21" t="s">
        <v>522</v>
      </c>
      <c r="H39" s="24"/>
      <c r="I39" s="10"/>
      <c r="J39" s="10"/>
    </row>
    <row r="40">
      <c r="A40" s="1"/>
      <c r="B40" s="21" t="str">
        <f t="shared" si="3"/>
        <v>Checkout Complete-17</v>
      </c>
      <c r="C40" s="47" t="s">
        <v>708</v>
      </c>
      <c r="D40" s="21" t="s">
        <v>562</v>
      </c>
      <c r="E40" s="21" t="s">
        <v>687</v>
      </c>
      <c r="F40" s="21" t="s">
        <v>709</v>
      </c>
      <c r="G40" s="21" t="s">
        <v>710</v>
      </c>
      <c r="H40" s="24"/>
      <c r="I40" s="10"/>
      <c r="J40" s="10"/>
    </row>
    <row r="41">
      <c r="A41" s="1"/>
      <c r="B41" s="21" t="str">
        <f t="shared" si="3"/>
        <v>Checkout Complete-18</v>
      </c>
      <c r="C41" s="49"/>
      <c r="D41" s="21" t="s">
        <v>505</v>
      </c>
      <c r="E41" s="21" t="s">
        <v>687</v>
      </c>
      <c r="F41" s="21" t="s">
        <v>711</v>
      </c>
      <c r="G41" s="21" t="s">
        <v>712</v>
      </c>
      <c r="H41" s="24"/>
      <c r="I41" s="10"/>
      <c r="J41" s="10"/>
    </row>
    <row r="42">
      <c r="A42" s="1"/>
      <c r="B42" s="21" t="str">
        <f t="shared" si="3"/>
        <v>Checkout Complete-19</v>
      </c>
      <c r="C42" s="48"/>
      <c r="D42" s="21" t="s">
        <v>713</v>
      </c>
      <c r="E42" s="21" t="s">
        <v>714</v>
      </c>
      <c r="F42" s="21" t="s">
        <v>715</v>
      </c>
      <c r="G42" s="21" t="s">
        <v>716</v>
      </c>
      <c r="H42" s="24"/>
      <c r="I42" s="10"/>
      <c r="J42" s="10"/>
    </row>
    <row r="43">
      <c r="A43" s="1"/>
      <c r="B43" s="21" t="str">
        <f t="shared" si="3"/>
        <v>Checkout Complete-20</v>
      </c>
      <c r="C43" s="47" t="s">
        <v>590</v>
      </c>
      <c r="D43" s="21" t="s">
        <v>591</v>
      </c>
      <c r="E43" s="21" t="s">
        <v>687</v>
      </c>
      <c r="F43" s="21" t="s">
        <v>664</v>
      </c>
      <c r="G43" s="21" t="s">
        <v>717</v>
      </c>
      <c r="H43" s="24"/>
      <c r="I43" s="10"/>
      <c r="J43" s="10"/>
    </row>
    <row r="44">
      <c r="A44" s="1"/>
      <c r="B44" s="21" t="str">
        <f t="shared" si="3"/>
        <v>Checkout Complete-21</v>
      </c>
      <c r="C44" s="49"/>
      <c r="D44" s="21" t="s">
        <v>718</v>
      </c>
      <c r="E44" s="21" t="s">
        <v>687</v>
      </c>
      <c r="F44" s="21" t="s">
        <v>666</v>
      </c>
      <c r="G44" s="21" t="s">
        <v>667</v>
      </c>
      <c r="H44" s="24"/>
      <c r="I44" s="10"/>
      <c r="J44" s="10"/>
    </row>
    <row r="45">
      <c r="A45" s="1"/>
      <c r="B45" s="21" t="str">
        <f t="shared" si="3"/>
        <v>Checkout Complete-22</v>
      </c>
      <c r="C45" s="48"/>
      <c r="D45" s="21" t="s">
        <v>719</v>
      </c>
      <c r="E45" s="21" t="s">
        <v>720</v>
      </c>
      <c r="F45" s="21" t="s">
        <v>721</v>
      </c>
      <c r="G45" s="21" t="s">
        <v>722</v>
      </c>
      <c r="H45" s="24"/>
      <c r="I45" s="10"/>
      <c r="J45" s="10"/>
    </row>
    <row r="46">
      <c r="A46" s="1"/>
      <c r="B46" s="21" t="str">
        <f t="shared" si="3"/>
        <v>Checkout Complete-23</v>
      </c>
      <c r="C46" s="47" t="s">
        <v>723</v>
      </c>
      <c r="D46" s="21" t="s">
        <v>724</v>
      </c>
      <c r="E46" s="21" t="s">
        <v>714</v>
      </c>
      <c r="F46" s="21" t="s">
        <v>233</v>
      </c>
      <c r="G46" s="21" t="s">
        <v>725</v>
      </c>
      <c r="H46" s="24"/>
      <c r="I46" s="10"/>
      <c r="J46" s="10"/>
    </row>
    <row r="47">
      <c r="A47" s="1"/>
      <c r="B47" s="21" t="str">
        <f t="shared" si="3"/>
        <v>Checkout Complete-24</v>
      </c>
      <c r="C47" s="49"/>
      <c r="D47" s="21" t="s">
        <v>726</v>
      </c>
      <c r="E47" s="21" t="s">
        <v>727</v>
      </c>
      <c r="F47" s="21" t="s">
        <v>715</v>
      </c>
      <c r="G47" s="21" t="s">
        <v>728</v>
      </c>
      <c r="H47" s="24"/>
      <c r="I47" s="10"/>
      <c r="J47" s="10"/>
    </row>
    <row r="48">
      <c r="A48" s="1"/>
      <c r="B48" s="21" t="str">
        <f t="shared" si="3"/>
        <v>Checkout Complete-25</v>
      </c>
      <c r="C48" s="48"/>
      <c r="D48" s="21" t="s">
        <v>729</v>
      </c>
      <c r="E48" s="21" t="s">
        <v>730</v>
      </c>
      <c r="F48" s="21" t="s">
        <v>721</v>
      </c>
      <c r="G48" s="21" t="s">
        <v>731</v>
      </c>
      <c r="H48" s="24"/>
      <c r="I48" s="10"/>
      <c r="J48" s="10"/>
    </row>
    <row r="49">
      <c r="A49" s="1"/>
      <c r="B49" s="21"/>
      <c r="C49" s="21"/>
      <c r="D49" s="21"/>
      <c r="E49" s="21"/>
      <c r="F49" s="21"/>
      <c r="G49" s="21"/>
      <c r="H49" s="24"/>
      <c r="I49" s="10"/>
      <c r="J49" s="10"/>
    </row>
    <row r="50">
      <c r="A50" s="1"/>
      <c r="B50" s="21"/>
      <c r="C50" s="21"/>
      <c r="D50" s="21"/>
      <c r="E50" s="21"/>
      <c r="F50" s="21"/>
      <c r="G50" s="21"/>
      <c r="H50" s="24"/>
      <c r="I50" s="10"/>
      <c r="J50" s="10"/>
    </row>
    <row r="51">
      <c r="A51" s="1"/>
      <c r="B51" s="21"/>
      <c r="C51" s="33"/>
      <c r="D51" s="33"/>
      <c r="E51" s="10"/>
      <c r="F51" s="10"/>
      <c r="G51" s="10"/>
      <c r="H51" s="24"/>
      <c r="I51" s="10"/>
      <c r="J51" s="10"/>
    </row>
    <row r="52">
      <c r="A52" s="1"/>
      <c r="B52" s="21"/>
      <c r="C52" s="33"/>
      <c r="D52" s="33"/>
      <c r="E52" s="10"/>
      <c r="F52" s="10"/>
      <c r="G52" s="10"/>
      <c r="H52" s="24"/>
      <c r="I52" s="10"/>
      <c r="J52" s="10"/>
    </row>
    <row r="53">
      <c r="A53" s="1"/>
      <c r="B53" s="21"/>
      <c r="C53" s="33"/>
      <c r="D53" s="33"/>
      <c r="E53" s="10"/>
      <c r="F53" s="10"/>
      <c r="G53" s="10"/>
      <c r="H53" s="24"/>
      <c r="I53" s="10"/>
      <c r="J53" s="10"/>
    </row>
    <row r="54">
      <c r="A54" s="1"/>
      <c r="B54" s="21"/>
      <c r="C54" s="33"/>
      <c r="D54" s="33"/>
      <c r="E54" s="10"/>
      <c r="F54" s="10"/>
      <c r="G54" s="10"/>
      <c r="H54" s="24"/>
      <c r="I54" s="10"/>
      <c r="J54" s="10"/>
    </row>
    <row r="55">
      <c r="A55" s="1"/>
      <c r="B55" s="21"/>
      <c r="C55" s="33"/>
      <c r="D55" s="33"/>
      <c r="E55" s="10"/>
      <c r="F55" s="10"/>
      <c r="G55" s="10"/>
      <c r="H55" s="24"/>
      <c r="I55" s="10"/>
      <c r="J55" s="10"/>
    </row>
    <row r="56">
      <c r="A56" s="1"/>
      <c r="B56" s="21"/>
      <c r="C56" s="33"/>
      <c r="D56" s="33"/>
      <c r="E56" s="10"/>
      <c r="F56" s="10"/>
      <c r="G56" s="10"/>
      <c r="H56" s="24"/>
      <c r="I56" s="10"/>
      <c r="J56" s="10"/>
    </row>
    <row r="57">
      <c r="A57" s="1"/>
      <c r="B57" s="21"/>
      <c r="C57" s="33"/>
      <c r="D57" s="33"/>
      <c r="E57" s="10"/>
      <c r="F57" s="10"/>
      <c r="G57" s="10"/>
      <c r="H57" s="24"/>
      <c r="I57" s="10"/>
      <c r="J57" s="10"/>
    </row>
    <row r="58">
      <c r="A58" s="1"/>
      <c r="B58" s="21"/>
      <c r="C58" s="33"/>
      <c r="D58" s="33"/>
      <c r="E58" s="10"/>
      <c r="F58" s="10"/>
      <c r="G58" s="10"/>
      <c r="H58" s="24"/>
      <c r="I58" s="10"/>
      <c r="J58" s="10"/>
    </row>
    <row r="59">
      <c r="A59" s="1"/>
      <c r="B59" s="21"/>
      <c r="C59" s="33"/>
      <c r="D59" s="33"/>
      <c r="E59" s="10"/>
      <c r="F59" s="10"/>
      <c r="G59" s="10"/>
      <c r="H59" s="24"/>
      <c r="I59" s="10"/>
      <c r="J59" s="10"/>
    </row>
    <row r="60">
      <c r="A60" s="1"/>
      <c r="B60" s="21"/>
      <c r="C60" s="33"/>
      <c r="D60" s="33"/>
      <c r="E60" s="10"/>
      <c r="F60" s="10"/>
      <c r="G60" s="10"/>
      <c r="H60" s="24"/>
      <c r="I60" s="10"/>
      <c r="J60" s="10"/>
    </row>
    <row r="61">
      <c r="A61" s="1"/>
      <c r="B61" s="21"/>
      <c r="C61" s="33"/>
      <c r="D61" s="33"/>
      <c r="E61" s="10"/>
      <c r="F61" s="10"/>
      <c r="G61" s="10"/>
      <c r="H61" s="24"/>
      <c r="I61" s="10"/>
      <c r="J61" s="10"/>
    </row>
    <row r="62">
      <c r="A62" s="1"/>
      <c r="B62" s="21"/>
      <c r="C62" s="33"/>
      <c r="D62" s="33"/>
      <c r="E62" s="10"/>
      <c r="F62" s="10"/>
      <c r="G62" s="10"/>
      <c r="H62" s="24"/>
      <c r="I62" s="10"/>
      <c r="J62" s="10"/>
    </row>
    <row r="63">
      <c r="A63" s="1"/>
      <c r="B63" s="21"/>
      <c r="C63" s="33"/>
      <c r="D63" s="33"/>
      <c r="E63" s="10"/>
      <c r="F63" s="10"/>
      <c r="G63" s="10"/>
      <c r="H63" s="24"/>
      <c r="I63" s="10"/>
      <c r="J63" s="10"/>
    </row>
    <row r="64">
      <c r="A64" s="1"/>
      <c r="B64" s="21"/>
      <c r="C64" s="33"/>
      <c r="D64" s="33"/>
      <c r="E64" s="10"/>
      <c r="F64" s="10"/>
      <c r="G64" s="10"/>
      <c r="H64" s="24"/>
      <c r="I64" s="10"/>
      <c r="J64" s="10"/>
    </row>
    <row r="65">
      <c r="A65" s="1"/>
      <c r="B65" s="21"/>
      <c r="C65" s="33"/>
      <c r="D65" s="33"/>
      <c r="E65" s="10"/>
      <c r="F65" s="10"/>
      <c r="G65" s="10"/>
      <c r="H65" s="24"/>
      <c r="I65" s="10"/>
      <c r="J65" s="10"/>
    </row>
    <row r="66">
      <c r="A66" s="1"/>
      <c r="B66" s="21"/>
      <c r="C66" s="33"/>
      <c r="D66" s="33"/>
      <c r="E66" s="10"/>
      <c r="F66" s="10"/>
      <c r="G66" s="10"/>
      <c r="H66" s="24"/>
      <c r="I66" s="10"/>
      <c r="J66" s="10"/>
    </row>
    <row r="67">
      <c r="A67" s="1"/>
      <c r="B67" s="21"/>
      <c r="C67" s="33"/>
      <c r="D67" s="33"/>
      <c r="E67" s="10"/>
      <c r="F67" s="10"/>
      <c r="G67" s="10"/>
      <c r="H67" s="24"/>
      <c r="I67" s="10"/>
      <c r="J67" s="10"/>
    </row>
    <row r="68">
      <c r="A68" s="1"/>
      <c r="B68" s="21"/>
      <c r="C68" s="33"/>
      <c r="D68" s="33"/>
      <c r="E68" s="10"/>
      <c r="F68" s="10"/>
      <c r="G68" s="10"/>
      <c r="H68" s="24"/>
      <c r="I68" s="10"/>
      <c r="J68" s="10"/>
    </row>
    <row r="69">
      <c r="A69" s="1"/>
      <c r="B69" s="21"/>
      <c r="C69" s="33"/>
      <c r="D69" s="33"/>
      <c r="E69" s="10"/>
      <c r="F69" s="10"/>
      <c r="G69" s="10"/>
      <c r="H69" s="24"/>
      <c r="I69" s="10"/>
      <c r="J69" s="10"/>
    </row>
    <row r="70">
      <c r="A70" s="1"/>
      <c r="B70" s="21"/>
      <c r="C70" s="33"/>
      <c r="D70" s="33"/>
      <c r="E70" s="35"/>
      <c r="F70" s="36"/>
      <c r="G70" s="10"/>
      <c r="H70" s="24"/>
      <c r="I70" s="10"/>
      <c r="J70" s="10"/>
    </row>
    <row r="71">
      <c r="A71" s="1"/>
      <c r="B71" s="21"/>
      <c r="C71" s="33"/>
      <c r="D71" s="33"/>
      <c r="E71" s="29"/>
      <c r="F71" s="36"/>
      <c r="G71" s="10"/>
      <c r="H71" s="24"/>
      <c r="I71" s="10"/>
      <c r="J71" s="10"/>
    </row>
    <row r="72">
      <c r="A72" s="1"/>
      <c r="B72" s="21"/>
      <c r="C72" s="33"/>
      <c r="D72" s="33"/>
      <c r="E72" s="30"/>
      <c r="F72" s="36"/>
      <c r="G72" s="10"/>
      <c r="H72" s="24"/>
      <c r="I72" s="10"/>
      <c r="J72" s="10"/>
    </row>
    <row r="73">
      <c r="A73" s="1"/>
      <c r="B73" s="21"/>
      <c r="C73" s="33"/>
      <c r="D73" s="33"/>
      <c r="E73" s="10"/>
      <c r="F73" s="36"/>
      <c r="G73" s="10"/>
      <c r="H73" s="10"/>
      <c r="I73" s="10"/>
      <c r="J73" s="37"/>
    </row>
    <row r="74">
      <c r="A74" s="1"/>
      <c r="B74" s="21"/>
      <c r="C74" s="33"/>
      <c r="D74" s="33"/>
      <c r="E74" s="10"/>
      <c r="F74" s="36"/>
      <c r="G74" s="10"/>
      <c r="H74" s="10"/>
      <c r="I74" s="10"/>
      <c r="J74" s="37"/>
    </row>
    <row r="75">
      <c r="A75" s="1"/>
      <c r="B75" s="21"/>
      <c r="C75" s="33"/>
      <c r="D75" s="33"/>
      <c r="E75" s="10"/>
      <c r="F75" s="36"/>
      <c r="G75" s="10"/>
      <c r="H75" s="10"/>
      <c r="I75" s="10"/>
      <c r="J75" s="37"/>
    </row>
    <row r="76">
      <c r="A76" s="1"/>
      <c r="B76" s="21"/>
      <c r="C76" s="33"/>
      <c r="D76" s="33"/>
      <c r="E76" s="10"/>
      <c r="F76" s="10"/>
      <c r="G76" s="10"/>
      <c r="H76" s="10"/>
      <c r="I76" s="10"/>
      <c r="J76" s="37"/>
    </row>
    <row r="77">
      <c r="A77" s="1"/>
      <c r="B77" s="21"/>
      <c r="C77" s="33"/>
      <c r="D77" s="33"/>
      <c r="E77" s="10"/>
      <c r="F77" s="10"/>
      <c r="G77" s="10"/>
      <c r="H77" s="10"/>
      <c r="I77" s="10"/>
      <c r="J77" s="37"/>
    </row>
    <row r="78">
      <c r="A78" s="1"/>
      <c r="B78" s="21"/>
      <c r="C78" s="33"/>
      <c r="D78" s="33"/>
      <c r="E78" s="10"/>
      <c r="F78" s="10"/>
      <c r="G78" s="10"/>
      <c r="H78" s="10"/>
      <c r="I78" s="10"/>
      <c r="J78" s="37"/>
    </row>
    <row r="79">
      <c r="A79" s="1"/>
      <c r="B79" s="21"/>
      <c r="C79" s="33"/>
      <c r="D79" s="33"/>
      <c r="E79" s="10"/>
      <c r="F79" s="10"/>
      <c r="G79" s="10"/>
      <c r="H79" s="10"/>
      <c r="I79" s="10"/>
      <c r="J79" s="37"/>
    </row>
    <row r="80">
      <c r="A80" s="1"/>
      <c r="B80" s="21"/>
      <c r="C80" s="33"/>
      <c r="D80" s="33"/>
      <c r="E80" s="10"/>
      <c r="F80" s="10"/>
      <c r="G80" s="10"/>
      <c r="H80" s="10"/>
      <c r="I80" s="10"/>
      <c r="J80" s="37"/>
    </row>
    <row r="81">
      <c r="A81" s="1"/>
      <c r="B81" s="21"/>
      <c r="C81" s="33"/>
      <c r="D81" s="33"/>
      <c r="E81" s="10"/>
      <c r="F81" s="10"/>
      <c r="G81" s="10"/>
      <c r="H81" s="10"/>
      <c r="I81" s="10"/>
      <c r="J81" s="37"/>
    </row>
    <row r="82">
      <c r="A82" s="1"/>
      <c r="B82" s="21"/>
      <c r="C82" s="33"/>
      <c r="D82" s="33"/>
      <c r="E82" s="10"/>
      <c r="F82" s="10"/>
      <c r="G82" s="10"/>
      <c r="H82" s="10"/>
      <c r="I82" s="10"/>
      <c r="J82" s="37"/>
    </row>
    <row r="83">
      <c r="A83" s="1"/>
      <c r="B83" s="21"/>
      <c r="C83" s="33"/>
      <c r="D83" s="33"/>
      <c r="E83" s="10"/>
      <c r="F83" s="10"/>
      <c r="G83" s="10"/>
      <c r="H83" s="10"/>
      <c r="I83" s="10"/>
      <c r="J83" s="37"/>
    </row>
    <row r="84">
      <c r="A84" s="1"/>
      <c r="B84" s="21"/>
      <c r="C84" s="33"/>
      <c r="D84" s="33"/>
      <c r="E84" s="10"/>
      <c r="F84" s="10"/>
      <c r="G84" s="10"/>
      <c r="H84" s="10"/>
      <c r="I84" s="10"/>
      <c r="J84" s="37"/>
    </row>
    <row r="85">
      <c r="A85" s="38"/>
      <c r="B85" s="39"/>
      <c r="C85" s="33"/>
      <c r="D85" s="33"/>
      <c r="E85" s="34"/>
      <c r="F85" s="34"/>
      <c r="G85" s="34"/>
      <c r="H85" s="34"/>
      <c r="I85" s="34"/>
      <c r="J85" s="40"/>
    </row>
    <row r="86">
      <c r="A86" s="38"/>
      <c r="B86" s="39"/>
      <c r="C86" s="33"/>
      <c r="D86" s="33"/>
      <c r="E86" s="34"/>
      <c r="F86" s="34"/>
      <c r="G86" s="34"/>
      <c r="H86" s="34"/>
      <c r="I86" s="34"/>
      <c r="J86" s="40"/>
    </row>
    <row r="87">
      <c r="A87" s="1"/>
      <c r="B87" s="21"/>
      <c r="C87" s="33"/>
      <c r="D87" s="33"/>
      <c r="E87" s="10"/>
      <c r="F87" s="10"/>
      <c r="G87" s="10"/>
      <c r="H87" s="10"/>
      <c r="I87" s="10"/>
      <c r="J87" s="37"/>
    </row>
    <row r="88">
      <c r="A88" s="1"/>
      <c r="B88" s="21"/>
      <c r="C88" s="33"/>
      <c r="D88" s="33"/>
      <c r="E88" s="10"/>
      <c r="F88" s="10"/>
      <c r="G88" s="10"/>
      <c r="H88" s="10"/>
      <c r="I88" s="10"/>
      <c r="J88" s="37"/>
    </row>
    <row r="89">
      <c r="A89" s="1"/>
      <c r="B89" s="21"/>
      <c r="C89" s="33"/>
      <c r="D89" s="33"/>
      <c r="E89" s="10"/>
      <c r="F89" s="10"/>
      <c r="G89" s="10"/>
      <c r="H89" s="10"/>
      <c r="I89" s="10"/>
      <c r="J89" s="37"/>
    </row>
    <row r="90">
      <c r="A90" s="1"/>
      <c r="B90" s="21"/>
      <c r="C90" s="33"/>
      <c r="D90" s="33"/>
      <c r="E90" s="10"/>
      <c r="F90" s="10"/>
      <c r="G90" s="10"/>
      <c r="H90" s="10"/>
      <c r="I90" s="10"/>
      <c r="J90" s="37"/>
    </row>
    <row r="91">
      <c r="A91" s="1"/>
      <c r="B91" s="21"/>
      <c r="C91" s="33"/>
      <c r="D91" s="33"/>
      <c r="E91" s="10"/>
      <c r="F91" s="10"/>
      <c r="G91" s="10"/>
      <c r="H91" s="10"/>
      <c r="I91" s="10"/>
      <c r="J91" s="37"/>
    </row>
    <row r="92">
      <c r="A92" s="1"/>
      <c r="B92" s="21"/>
      <c r="C92" s="33"/>
      <c r="D92" s="33"/>
      <c r="E92" s="10"/>
      <c r="F92" s="10"/>
      <c r="G92" s="10"/>
      <c r="H92" s="10"/>
      <c r="I92" s="10"/>
      <c r="J92" s="37"/>
    </row>
    <row r="93">
      <c r="A93" s="1"/>
      <c r="B93" s="21"/>
      <c r="C93" s="33"/>
      <c r="D93" s="33"/>
      <c r="E93" s="10"/>
      <c r="F93" s="10"/>
      <c r="G93" s="10"/>
      <c r="H93" s="10"/>
      <c r="I93" s="10"/>
      <c r="J93" s="37"/>
    </row>
    <row r="94">
      <c r="A94" s="1"/>
      <c r="B94" s="21"/>
      <c r="C94" s="33"/>
      <c r="D94" s="33"/>
      <c r="E94" s="10"/>
      <c r="F94" s="10"/>
      <c r="G94" s="10"/>
      <c r="H94" s="10"/>
      <c r="I94" s="10"/>
      <c r="J94" s="37"/>
    </row>
    <row r="95">
      <c r="A95" s="1"/>
      <c r="B95" s="21"/>
      <c r="C95" s="33"/>
      <c r="D95" s="33"/>
      <c r="E95" s="10"/>
      <c r="F95" s="10"/>
      <c r="G95" s="10"/>
      <c r="H95" s="10"/>
      <c r="I95" s="10"/>
      <c r="J95" s="37"/>
    </row>
    <row r="96">
      <c r="A96" s="1"/>
      <c r="B96" s="21"/>
      <c r="C96" s="33"/>
      <c r="D96" s="33"/>
      <c r="E96" s="10"/>
      <c r="F96" s="10"/>
      <c r="G96" s="10"/>
      <c r="H96" s="10"/>
      <c r="I96" s="10"/>
      <c r="J96" s="37"/>
    </row>
    <row r="97">
      <c r="A97" s="1"/>
      <c r="B97" s="21"/>
      <c r="C97" s="33"/>
      <c r="D97" s="33"/>
      <c r="E97" s="10"/>
      <c r="F97" s="10"/>
      <c r="G97" s="10"/>
      <c r="H97" s="10"/>
      <c r="I97" s="10"/>
      <c r="J97" s="37"/>
    </row>
    <row r="98">
      <c r="A98" s="1"/>
      <c r="B98" s="21"/>
      <c r="C98" s="33"/>
      <c r="D98" s="33"/>
      <c r="E98" s="10"/>
      <c r="F98" s="10"/>
      <c r="G98" s="10"/>
      <c r="H98" s="10"/>
      <c r="I98" s="10"/>
      <c r="J98" s="37"/>
    </row>
    <row r="99">
      <c r="A99" s="1"/>
      <c r="B99" s="21"/>
      <c r="C99" s="33"/>
      <c r="D99" s="33"/>
      <c r="E99" s="10"/>
      <c r="F99" s="10"/>
      <c r="G99" s="10"/>
      <c r="H99" s="10"/>
      <c r="I99" s="10"/>
      <c r="J99" s="37"/>
    </row>
    <row r="100">
      <c r="A100" s="1"/>
      <c r="B100" s="21"/>
      <c r="C100" s="33"/>
      <c r="D100" s="33"/>
      <c r="E100" s="10"/>
      <c r="F100" s="10"/>
      <c r="G100" s="10"/>
      <c r="H100" s="10"/>
      <c r="I100" s="10"/>
      <c r="J100" s="37"/>
    </row>
    <row r="101">
      <c r="A101" s="1"/>
      <c r="B101" s="21"/>
      <c r="C101" s="33"/>
      <c r="D101" s="33"/>
      <c r="E101" s="10"/>
      <c r="F101" s="10"/>
      <c r="G101" s="10"/>
      <c r="H101" s="10"/>
      <c r="I101" s="10"/>
      <c r="J101" s="37"/>
    </row>
    <row r="102">
      <c r="A102" s="1"/>
      <c r="B102" s="21"/>
      <c r="C102" s="33"/>
      <c r="D102" s="33"/>
      <c r="E102" s="10"/>
      <c r="F102" s="10"/>
      <c r="G102" s="10"/>
      <c r="H102" s="10"/>
      <c r="I102" s="10"/>
      <c r="J102" s="37"/>
    </row>
    <row r="103">
      <c r="A103" s="1"/>
      <c r="B103" s="21"/>
      <c r="C103" s="33"/>
      <c r="D103" s="33"/>
      <c r="E103" s="10"/>
      <c r="F103" s="10"/>
      <c r="G103" s="10"/>
      <c r="H103" s="10"/>
      <c r="I103" s="10"/>
      <c r="J103" s="37"/>
    </row>
    <row r="104">
      <c r="A104" s="1"/>
      <c r="B104" s="21"/>
      <c r="C104" s="33"/>
      <c r="D104" s="33"/>
      <c r="E104" s="10"/>
      <c r="F104" s="10"/>
      <c r="G104" s="10"/>
      <c r="H104" s="10"/>
      <c r="I104" s="10"/>
      <c r="J104" s="37"/>
    </row>
    <row r="105">
      <c r="A105" s="1"/>
      <c r="B105" s="21"/>
      <c r="C105" s="33"/>
      <c r="D105" s="33"/>
      <c r="E105" s="10"/>
      <c r="F105" s="10"/>
      <c r="G105" s="10"/>
      <c r="H105" s="10"/>
      <c r="I105" s="10"/>
      <c r="J105" s="37"/>
    </row>
    <row r="106">
      <c r="A106" s="1"/>
      <c r="B106" s="21"/>
      <c r="C106" s="33"/>
      <c r="D106" s="33"/>
      <c r="E106" s="10"/>
      <c r="F106" s="10"/>
      <c r="G106" s="10"/>
      <c r="H106" s="10"/>
      <c r="I106" s="10"/>
      <c r="J106" s="37"/>
    </row>
    <row r="107">
      <c r="A107" s="1"/>
      <c r="B107" s="21"/>
      <c r="C107" s="33"/>
      <c r="D107" s="33"/>
      <c r="E107" s="10"/>
      <c r="F107" s="10"/>
      <c r="G107" s="10"/>
      <c r="H107" s="10"/>
      <c r="I107" s="10"/>
      <c r="J107" s="37"/>
    </row>
    <row r="108">
      <c r="A108" s="1"/>
      <c r="B108" s="21"/>
      <c r="C108" s="33"/>
      <c r="D108" s="33"/>
      <c r="E108" s="10"/>
      <c r="F108" s="10"/>
      <c r="G108" s="10"/>
      <c r="H108" s="10"/>
      <c r="I108" s="10"/>
      <c r="J108" s="37"/>
    </row>
    <row r="109">
      <c r="A109" s="1"/>
      <c r="B109" s="21"/>
      <c r="C109" s="33"/>
      <c r="D109" s="33"/>
      <c r="E109" s="10"/>
      <c r="F109" s="10"/>
      <c r="G109" s="10"/>
      <c r="H109" s="10"/>
      <c r="I109" s="10"/>
      <c r="J109" s="37"/>
    </row>
    <row r="110">
      <c r="A110" s="1"/>
      <c r="B110" s="21"/>
      <c r="C110" s="33"/>
      <c r="D110" s="33"/>
      <c r="E110" s="10"/>
      <c r="F110" s="10"/>
      <c r="G110" s="10"/>
      <c r="H110" s="10"/>
      <c r="I110" s="10"/>
      <c r="J110" s="37"/>
    </row>
    <row r="111">
      <c r="A111" s="1"/>
      <c r="B111" s="21"/>
      <c r="C111" s="33"/>
      <c r="D111" s="33"/>
      <c r="E111" s="10"/>
      <c r="F111" s="10"/>
      <c r="G111" s="10"/>
      <c r="H111" s="10"/>
      <c r="I111" s="10"/>
      <c r="J111" s="37"/>
    </row>
    <row r="112">
      <c r="A112" s="1"/>
      <c r="B112" s="21"/>
      <c r="C112" s="33"/>
      <c r="D112" s="33"/>
      <c r="E112" s="10"/>
      <c r="F112" s="10"/>
      <c r="G112" s="10"/>
      <c r="H112" s="10"/>
      <c r="I112" s="10"/>
      <c r="J112" s="37"/>
    </row>
    <row r="113">
      <c r="A113" s="1"/>
      <c r="B113" s="21"/>
      <c r="C113" s="33"/>
      <c r="D113" s="33"/>
      <c r="E113" s="10"/>
      <c r="F113" s="10"/>
      <c r="G113" s="10"/>
      <c r="H113" s="10"/>
      <c r="I113" s="10"/>
      <c r="J113" s="37"/>
    </row>
    <row r="114">
      <c r="A114" s="1"/>
      <c r="B114" s="21"/>
      <c r="C114" s="33"/>
      <c r="D114" s="33"/>
      <c r="E114" s="10"/>
      <c r="F114" s="10"/>
      <c r="G114" s="10"/>
      <c r="H114" s="10"/>
      <c r="I114" s="10"/>
      <c r="J114" s="37"/>
    </row>
    <row r="115">
      <c r="A115" s="1"/>
      <c r="B115" s="21"/>
      <c r="C115" s="33"/>
      <c r="D115" s="33"/>
      <c r="E115" s="10"/>
      <c r="F115" s="10"/>
      <c r="G115" s="10"/>
      <c r="H115" s="10"/>
      <c r="I115" s="10"/>
      <c r="J115" s="37"/>
    </row>
    <row r="116">
      <c r="A116" s="1"/>
      <c r="B116" s="21"/>
      <c r="C116" s="33"/>
      <c r="D116" s="33"/>
      <c r="E116" s="10"/>
      <c r="F116" s="10"/>
      <c r="G116" s="10"/>
      <c r="H116" s="10"/>
      <c r="I116" s="10"/>
      <c r="J116" s="37"/>
    </row>
    <row r="117">
      <c r="A117" s="1"/>
      <c r="B117" s="21"/>
      <c r="C117" s="33"/>
      <c r="D117" s="33"/>
      <c r="E117" s="10"/>
      <c r="F117" s="10"/>
      <c r="G117" s="10"/>
      <c r="H117" s="10"/>
      <c r="I117" s="10"/>
      <c r="J117" s="37"/>
    </row>
    <row r="118">
      <c r="A118" s="38"/>
      <c r="B118" s="39"/>
      <c r="C118" s="33"/>
      <c r="D118" s="33"/>
      <c r="E118" s="34"/>
      <c r="F118" s="34"/>
      <c r="G118" s="34"/>
      <c r="H118" s="34"/>
      <c r="I118" s="34"/>
      <c r="J118" s="40"/>
    </row>
    <row r="119">
      <c r="A119" s="1"/>
      <c r="B119" s="21"/>
      <c r="C119" s="33"/>
      <c r="D119" s="33"/>
      <c r="E119" s="10"/>
      <c r="F119" s="10"/>
      <c r="G119" s="10"/>
      <c r="H119" s="10"/>
      <c r="I119" s="10"/>
      <c r="J119" s="37"/>
    </row>
    <row r="120">
      <c r="A120" s="1"/>
      <c r="B120" s="21"/>
      <c r="C120" s="33"/>
      <c r="D120" s="33"/>
      <c r="E120" s="10"/>
      <c r="F120" s="10"/>
      <c r="G120" s="10"/>
      <c r="H120" s="10"/>
      <c r="I120" s="10"/>
      <c r="J120" s="37"/>
    </row>
    <row r="121">
      <c r="A121" s="1"/>
      <c r="B121" s="21"/>
      <c r="C121" s="33"/>
      <c r="D121" s="33"/>
      <c r="E121" s="10"/>
      <c r="F121" s="10"/>
      <c r="G121" s="10"/>
      <c r="H121" s="10"/>
      <c r="I121" s="10"/>
      <c r="J121" s="37"/>
    </row>
    <row r="122">
      <c r="A122" s="38"/>
      <c r="B122" s="39"/>
      <c r="C122" s="33"/>
      <c r="D122" s="33"/>
      <c r="E122" s="34"/>
      <c r="F122" s="34"/>
      <c r="G122" s="34"/>
      <c r="H122" s="34"/>
      <c r="I122" s="34"/>
      <c r="J122" s="40"/>
    </row>
    <row r="123">
      <c r="A123" s="1"/>
      <c r="B123" s="21"/>
      <c r="C123" s="33"/>
      <c r="D123" s="33"/>
      <c r="E123" s="10"/>
      <c r="F123" s="10"/>
      <c r="G123" s="10"/>
      <c r="H123" s="10"/>
      <c r="I123" s="10"/>
      <c r="J123" s="37"/>
    </row>
    <row r="124">
      <c r="A124" s="1"/>
      <c r="B124" s="21"/>
      <c r="C124" s="33"/>
      <c r="D124" s="33"/>
      <c r="E124" s="10"/>
      <c r="F124" s="10"/>
      <c r="G124" s="10"/>
      <c r="H124" s="10"/>
      <c r="I124" s="10"/>
      <c r="J124" s="37"/>
    </row>
    <row r="125">
      <c r="A125" s="1"/>
      <c r="B125" s="21"/>
      <c r="C125" s="33"/>
      <c r="D125" s="33"/>
      <c r="E125" s="10"/>
      <c r="F125" s="10"/>
      <c r="G125" s="10"/>
      <c r="H125" s="10"/>
      <c r="I125" s="10"/>
      <c r="J125" s="37"/>
    </row>
    <row r="126">
      <c r="A126" s="1"/>
      <c r="B126" s="21"/>
      <c r="C126" s="33"/>
      <c r="D126" s="33"/>
      <c r="E126" s="10"/>
      <c r="F126" s="10"/>
      <c r="G126" s="10"/>
      <c r="H126" s="10"/>
      <c r="I126" s="10"/>
      <c r="J126" s="37"/>
    </row>
    <row r="127">
      <c r="A127" s="1"/>
      <c r="B127" s="21"/>
      <c r="C127" s="33"/>
      <c r="D127" s="33"/>
      <c r="E127" s="10"/>
      <c r="F127" s="10"/>
      <c r="G127" s="10"/>
      <c r="H127" s="10"/>
      <c r="I127" s="10"/>
      <c r="J127" s="37"/>
    </row>
    <row r="128">
      <c r="A128" s="1"/>
      <c r="B128" s="21"/>
      <c r="C128" s="33"/>
      <c r="D128" s="33"/>
      <c r="E128" s="10"/>
      <c r="F128" s="10"/>
      <c r="G128" s="10"/>
      <c r="H128" s="10"/>
      <c r="I128" s="10"/>
      <c r="J128" s="37"/>
    </row>
    <row r="129">
      <c r="A129" s="1"/>
      <c r="B129" s="21"/>
      <c r="C129" s="33"/>
      <c r="D129" s="33"/>
      <c r="E129" s="10"/>
      <c r="F129" s="10"/>
      <c r="G129" s="10"/>
      <c r="H129" s="10"/>
      <c r="I129" s="10"/>
      <c r="J129" s="37"/>
    </row>
    <row r="130">
      <c r="A130" s="38"/>
      <c r="B130" s="39"/>
      <c r="C130" s="33"/>
      <c r="D130" s="33"/>
      <c r="E130" s="34"/>
      <c r="F130" s="34"/>
      <c r="G130" s="34"/>
      <c r="H130" s="34"/>
      <c r="I130" s="34"/>
      <c r="J130" s="40"/>
    </row>
    <row r="131">
      <c r="A131" s="1"/>
      <c r="B131" s="21"/>
      <c r="C131" s="33"/>
      <c r="D131" s="33"/>
      <c r="E131" s="10"/>
      <c r="F131" s="10"/>
      <c r="G131" s="10"/>
      <c r="H131" s="10"/>
      <c r="I131" s="10"/>
      <c r="J131" s="37"/>
    </row>
    <row r="132">
      <c r="A132" s="1"/>
      <c r="B132" s="21"/>
      <c r="C132" s="33"/>
      <c r="D132" s="33"/>
      <c r="E132" s="10"/>
      <c r="F132" s="10"/>
      <c r="G132" s="10"/>
      <c r="H132" s="10"/>
      <c r="I132" s="10"/>
      <c r="J132" s="37"/>
    </row>
    <row r="133">
      <c r="A133" s="1"/>
      <c r="B133" s="21"/>
      <c r="C133" s="33"/>
      <c r="D133" s="33"/>
      <c r="E133" s="10"/>
      <c r="F133" s="10"/>
      <c r="G133" s="10"/>
      <c r="H133" s="10"/>
      <c r="I133" s="10"/>
      <c r="J133" s="37"/>
    </row>
    <row r="134">
      <c r="A134" s="1"/>
      <c r="B134" s="21"/>
      <c r="C134" s="33"/>
      <c r="D134" s="33"/>
      <c r="E134" s="10"/>
      <c r="F134" s="10"/>
      <c r="G134" s="10"/>
      <c r="H134" s="10"/>
      <c r="I134" s="10"/>
      <c r="J134" s="37"/>
    </row>
    <row r="135">
      <c r="A135" s="1"/>
      <c r="B135" s="21"/>
      <c r="C135" s="33"/>
      <c r="D135" s="33"/>
      <c r="E135" s="10"/>
      <c r="F135" s="10"/>
      <c r="G135" s="10"/>
      <c r="H135" s="10"/>
      <c r="I135" s="10"/>
      <c r="J135" s="37"/>
    </row>
    <row r="136">
      <c r="A136" s="1"/>
      <c r="B136" s="21"/>
      <c r="C136" s="33"/>
      <c r="D136" s="33"/>
      <c r="E136" s="10"/>
      <c r="F136" s="10"/>
      <c r="G136" s="10"/>
      <c r="H136" s="10"/>
      <c r="I136" s="10"/>
      <c r="J136" s="37"/>
    </row>
    <row r="137">
      <c r="A137" s="1"/>
      <c r="B137" s="21"/>
      <c r="C137" s="33"/>
      <c r="D137" s="33"/>
      <c r="E137" s="10"/>
      <c r="F137" s="10"/>
      <c r="G137" s="10"/>
      <c r="H137" s="10"/>
      <c r="I137" s="10"/>
      <c r="J137" s="37"/>
    </row>
    <row r="138">
      <c r="A138" s="1"/>
      <c r="B138" s="21"/>
      <c r="C138" s="33"/>
      <c r="D138" s="33"/>
      <c r="E138" s="10"/>
      <c r="F138" s="10"/>
      <c r="G138" s="10"/>
      <c r="H138" s="10"/>
      <c r="I138" s="10"/>
      <c r="J138" s="37"/>
    </row>
    <row r="139">
      <c r="A139" s="1"/>
      <c r="B139" s="21"/>
      <c r="C139" s="33"/>
      <c r="D139" s="33"/>
      <c r="E139" s="10"/>
      <c r="F139" s="10"/>
      <c r="G139" s="10"/>
      <c r="H139" s="10"/>
      <c r="I139" s="10"/>
      <c r="J139" s="37"/>
    </row>
    <row r="140">
      <c r="A140" s="1"/>
      <c r="B140" s="21"/>
      <c r="C140" s="33"/>
      <c r="D140" s="33"/>
      <c r="E140" s="10"/>
      <c r="F140" s="10"/>
      <c r="G140" s="10"/>
      <c r="H140" s="10"/>
      <c r="I140" s="10"/>
      <c r="J140" s="37"/>
    </row>
    <row r="141">
      <c r="A141" s="1"/>
      <c r="B141" s="21"/>
      <c r="C141" s="33"/>
      <c r="D141" s="33"/>
      <c r="E141" s="10"/>
      <c r="F141" s="10"/>
      <c r="G141" s="10"/>
      <c r="H141" s="10"/>
      <c r="I141" s="10"/>
      <c r="J141" s="37"/>
    </row>
    <row r="142">
      <c r="A142" s="1"/>
      <c r="B142" s="21"/>
      <c r="C142" s="33"/>
      <c r="D142" s="33"/>
      <c r="E142" s="10"/>
      <c r="F142" s="10"/>
      <c r="G142" s="10"/>
      <c r="H142" s="10"/>
      <c r="I142" s="10"/>
      <c r="J142" s="37"/>
    </row>
    <row r="143">
      <c r="A143" s="1"/>
      <c r="B143" s="21"/>
      <c r="C143" s="33"/>
      <c r="D143" s="33"/>
      <c r="E143" s="10"/>
      <c r="F143" s="10"/>
      <c r="G143" s="10"/>
      <c r="H143" s="10"/>
      <c r="I143" s="10"/>
      <c r="J143" s="37"/>
    </row>
    <row r="144">
      <c r="A144" s="1"/>
      <c r="B144" s="21"/>
      <c r="C144" s="33"/>
      <c r="D144" s="33"/>
      <c r="E144" s="10"/>
      <c r="F144" s="10"/>
      <c r="G144" s="10"/>
      <c r="H144" s="10"/>
      <c r="I144" s="10"/>
      <c r="J144" s="37"/>
    </row>
    <row r="145">
      <c r="A145" s="1"/>
      <c r="B145" s="21"/>
      <c r="C145" s="33"/>
      <c r="D145" s="33"/>
      <c r="E145" s="10"/>
      <c r="F145" s="10"/>
      <c r="G145" s="10"/>
      <c r="H145" s="10"/>
      <c r="I145" s="10"/>
      <c r="J145" s="37"/>
    </row>
    <row r="146">
      <c r="A146" s="1"/>
      <c r="B146" s="21"/>
      <c r="C146" s="33"/>
      <c r="D146" s="33"/>
      <c r="E146" s="10"/>
      <c r="F146" s="10"/>
      <c r="G146" s="10"/>
      <c r="H146" s="10"/>
      <c r="I146" s="10"/>
      <c r="J146" s="37"/>
    </row>
    <row r="147">
      <c r="A147" s="1"/>
      <c r="B147" s="21"/>
      <c r="C147" s="33"/>
      <c r="D147" s="33"/>
      <c r="E147" s="10"/>
      <c r="F147" s="10"/>
      <c r="G147" s="10"/>
      <c r="H147" s="10"/>
      <c r="I147" s="10"/>
      <c r="J147" s="37"/>
    </row>
    <row r="148">
      <c r="A148" s="1"/>
      <c r="B148" s="21"/>
      <c r="C148" s="33"/>
      <c r="D148" s="33"/>
      <c r="E148" s="10"/>
      <c r="F148" s="10"/>
      <c r="G148" s="10"/>
      <c r="H148" s="10"/>
      <c r="I148" s="10"/>
      <c r="J148" s="37"/>
    </row>
    <row r="149">
      <c r="A149" s="1"/>
      <c r="B149" s="21"/>
      <c r="C149" s="33"/>
      <c r="D149" s="33"/>
      <c r="E149" s="10"/>
      <c r="F149" s="10"/>
      <c r="G149" s="10"/>
      <c r="H149" s="10"/>
      <c r="I149" s="10"/>
      <c r="J149" s="37"/>
    </row>
    <row r="150">
      <c r="A150" s="1"/>
      <c r="B150" s="21"/>
      <c r="C150" s="33"/>
      <c r="D150" s="33"/>
      <c r="E150" s="10"/>
      <c r="F150" s="10"/>
      <c r="G150" s="10"/>
      <c r="H150" s="10"/>
      <c r="I150" s="10"/>
      <c r="J150" s="37"/>
    </row>
    <row r="151">
      <c r="A151" s="1"/>
      <c r="B151" s="21"/>
      <c r="C151" s="33"/>
      <c r="D151" s="33"/>
      <c r="E151" s="10"/>
      <c r="F151" s="10"/>
      <c r="G151" s="10"/>
      <c r="H151" s="10"/>
      <c r="I151" s="10"/>
      <c r="J151" s="37"/>
    </row>
    <row r="152">
      <c r="A152" s="1"/>
      <c r="B152" s="21"/>
      <c r="C152" s="33"/>
      <c r="D152" s="33"/>
      <c r="E152" s="10"/>
      <c r="F152" s="10"/>
      <c r="G152" s="10"/>
      <c r="H152" s="10"/>
      <c r="I152" s="10"/>
      <c r="J152" s="37"/>
    </row>
    <row r="153">
      <c r="A153" s="1"/>
      <c r="B153" s="21"/>
      <c r="C153" s="33"/>
      <c r="D153" s="33"/>
      <c r="E153" s="10"/>
      <c r="F153" s="10"/>
      <c r="G153" s="10"/>
      <c r="H153" s="10"/>
      <c r="I153" s="10"/>
      <c r="J153" s="37"/>
    </row>
    <row r="154">
      <c r="A154" s="1"/>
      <c r="B154" s="21"/>
      <c r="C154" s="33"/>
      <c r="D154" s="33"/>
      <c r="E154" s="10"/>
      <c r="F154" s="10"/>
      <c r="G154" s="10"/>
      <c r="H154" s="10"/>
      <c r="I154" s="10"/>
      <c r="J154" s="37"/>
    </row>
    <row r="155">
      <c r="A155" s="1"/>
      <c r="B155" s="21"/>
      <c r="C155" s="33"/>
      <c r="D155" s="33"/>
      <c r="E155" s="10"/>
      <c r="F155" s="10"/>
      <c r="G155" s="10"/>
      <c r="H155" s="10"/>
      <c r="I155" s="10"/>
      <c r="J155" s="37"/>
    </row>
    <row r="156">
      <c r="A156" s="1"/>
      <c r="B156" s="21"/>
      <c r="C156" s="33"/>
      <c r="D156" s="33"/>
      <c r="E156" s="10"/>
      <c r="F156" s="10"/>
      <c r="G156" s="10"/>
      <c r="H156" s="10"/>
      <c r="I156" s="10"/>
      <c r="J156" s="37"/>
    </row>
    <row r="157">
      <c r="A157" s="1"/>
      <c r="B157" s="21"/>
      <c r="C157" s="33"/>
      <c r="D157" s="33"/>
      <c r="E157" s="10"/>
      <c r="F157" s="10"/>
      <c r="G157" s="10"/>
      <c r="H157" s="10"/>
      <c r="I157" s="10"/>
      <c r="J157" s="37"/>
    </row>
    <row r="158">
      <c r="A158" s="1"/>
      <c r="B158" s="21"/>
      <c r="C158" s="33"/>
      <c r="D158" s="33"/>
      <c r="E158" s="10"/>
      <c r="F158" s="10"/>
      <c r="G158" s="10"/>
      <c r="H158" s="10"/>
      <c r="I158" s="10"/>
      <c r="J158" s="37"/>
    </row>
    <row r="159">
      <c r="A159" s="1"/>
      <c r="B159" s="21"/>
      <c r="C159" s="33"/>
      <c r="D159" s="33"/>
      <c r="E159" s="10"/>
      <c r="F159" s="10"/>
      <c r="G159" s="10"/>
      <c r="H159" s="10"/>
      <c r="I159" s="10"/>
      <c r="J159" s="37"/>
    </row>
    <row r="160">
      <c r="A160" s="1"/>
      <c r="B160" s="21"/>
      <c r="C160" s="33"/>
      <c r="D160" s="33"/>
      <c r="E160" s="10"/>
      <c r="F160" s="10"/>
      <c r="G160" s="10"/>
      <c r="H160" s="10"/>
      <c r="I160" s="10"/>
      <c r="J160" s="37"/>
    </row>
    <row r="161">
      <c r="A161" s="1"/>
      <c r="B161" s="21"/>
      <c r="C161" s="33"/>
      <c r="D161" s="33"/>
      <c r="E161" s="10"/>
      <c r="F161" s="10"/>
      <c r="G161" s="10"/>
      <c r="H161" s="10"/>
      <c r="I161" s="10"/>
      <c r="J161" s="37"/>
    </row>
    <row r="162">
      <c r="A162" s="1"/>
      <c r="B162" s="21"/>
      <c r="C162" s="33"/>
      <c r="D162" s="33"/>
      <c r="E162" s="10"/>
      <c r="F162" s="10"/>
      <c r="G162" s="10"/>
      <c r="H162" s="10"/>
      <c r="I162" s="10"/>
      <c r="J162" s="37"/>
    </row>
    <row r="163">
      <c r="A163" s="1"/>
      <c r="B163" s="21"/>
      <c r="C163" s="33"/>
      <c r="D163" s="33"/>
      <c r="E163" s="10"/>
      <c r="F163" s="10"/>
      <c r="G163" s="10"/>
      <c r="H163" s="10"/>
      <c r="I163" s="10"/>
      <c r="J163" s="37"/>
    </row>
    <row r="164">
      <c r="A164" s="1"/>
      <c r="B164" s="21"/>
      <c r="C164" s="33"/>
      <c r="D164" s="33"/>
      <c r="E164" s="10"/>
      <c r="F164" s="10"/>
      <c r="G164" s="10"/>
      <c r="H164" s="10"/>
      <c r="I164" s="10"/>
      <c r="J164" s="37"/>
    </row>
    <row r="165">
      <c r="A165" s="1"/>
      <c r="B165" s="21"/>
      <c r="C165" s="33"/>
      <c r="D165" s="33"/>
      <c r="E165" s="10"/>
      <c r="F165" s="10"/>
      <c r="G165" s="10"/>
      <c r="H165" s="10"/>
      <c r="I165" s="10"/>
      <c r="J165" s="37"/>
    </row>
    <row r="166">
      <c r="A166" s="1"/>
      <c r="B166" s="21"/>
      <c r="C166" s="33"/>
      <c r="D166" s="33"/>
      <c r="E166" s="10"/>
      <c r="F166" s="10"/>
      <c r="G166" s="10"/>
      <c r="H166" s="10"/>
      <c r="I166" s="10"/>
      <c r="J166" s="37"/>
    </row>
    <row r="167">
      <c r="A167" s="1"/>
      <c r="B167" s="21"/>
      <c r="C167" s="33"/>
      <c r="D167" s="33"/>
      <c r="E167" s="10"/>
      <c r="F167" s="10"/>
      <c r="G167" s="10"/>
      <c r="H167" s="10"/>
      <c r="I167" s="10"/>
      <c r="J167" s="37"/>
    </row>
    <row r="168">
      <c r="A168" s="1"/>
      <c r="B168" s="21"/>
      <c r="C168" s="33"/>
      <c r="D168" s="33"/>
      <c r="E168" s="10"/>
      <c r="F168" s="10"/>
      <c r="G168" s="10"/>
      <c r="H168" s="10"/>
      <c r="I168" s="10"/>
      <c r="J168" s="37"/>
    </row>
    <row r="169">
      <c r="A169" s="1"/>
      <c r="B169" s="21"/>
      <c r="C169" s="33"/>
      <c r="D169" s="33"/>
      <c r="E169" s="10"/>
      <c r="F169" s="10"/>
      <c r="G169" s="10"/>
      <c r="H169" s="10"/>
      <c r="I169" s="10"/>
      <c r="J169" s="37"/>
    </row>
    <row r="170">
      <c r="A170" s="1"/>
      <c r="B170" s="21"/>
      <c r="C170" s="33"/>
      <c r="D170" s="33"/>
      <c r="E170" s="10"/>
      <c r="F170" s="10"/>
      <c r="G170" s="10"/>
      <c r="H170" s="10"/>
      <c r="I170" s="10"/>
      <c r="J170" s="37"/>
    </row>
    <row r="171">
      <c r="A171" s="1"/>
      <c r="B171" s="21"/>
      <c r="C171" s="33"/>
      <c r="D171" s="33"/>
      <c r="E171" s="10"/>
      <c r="F171" s="10"/>
      <c r="G171" s="10"/>
      <c r="H171" s="10"/>
      <c r="I171" s="10"/>
      <c r="J171" s="37"/>
    </row>
    <row r="172">
      <c r="A172" s="1"/>
      <c r="B172" s="21"/>
      <c r="C172" s="33"/>
      <c r="D172" s="33"/>
      <c r="E172" s="10"/>
      <c r="F172" s="10"/>
      <c r="G172" s="10"/>
      <c r="H172" s="10"/>
      <c r="I172" s="10"/>
      <c r="J172" s="37"/>
    </row>
    <row r="173">
      <c r="A173" s="1"/>
      <c r="B173" s="21"/>
      <c r="C173" s="33"/>
      <c r="D173" s="33"/>
      <c r="E173" s="10"/>
      <c r="F173" s="10"/>
      <c r="G173" s="10"/>
      <c r="H173" s="10"/>
      <c r="I173" s="10"/>
      <c r="J173" s="37"/>
    </row>
    <row r="174">
      <c r="A174" s="1"/>
      <c r="B174" s="21"/>
      <c r="C174" s="33"/>
      <c r="D174" s="33"/>
      <c r="E174" s="10"/>
      <c r="F174" s="10"/>
      <c r="G174" s="10"/>
      <c r="H174" s="10"/>
      <c r="I174" s="10"/>
      <c r="J174" s="37"/>
    </row>
    <row r="175">
      <c r="A175" s="1"/>
      <c r="B175" s="21"/>
      <c r="C175" s="33"/>
      <c r="D175" s="33"/>
      <c r="E175" s="10"/>
      <c r="F175" s="10"/>
      <c r="G175" s="10"/>
      <c r="H175" s="10"/>
      <c r="I175" s="10"/>
      <c r="J175" s="37"/>
    </row>
    <row r="176">
      <c r="A176" s="1"/>
      <c r="B176" s="21"/>
      <c r="C176" s="33"/>
      <c r="D176" s="33"/>
      <c r="E176" s="10"/>
      <c r="F176" s="10"/>
      <c r="G176" s="10"/>
      <c r="H176" s="10"/>
      <c r="I176" s="10"/>
      <c r="J176" s="37"/>
    </row>
    <row r="177">
      <c r="A177" s="1"/>
      <c r="B177" s="21"/>
      <c r="C177" s="33"/>
      <c r="D177" s="33"/>
      <c r="E177" s="10"/>
      <c r="F177" s="10"/>
      <c r="G177" s="10"/>
      <c r="H177" s="10"/>
      <c r="I177" s="10"/>
      <c r="J177" s="37"/>
    </row>
    <row r="178">
      <c r="A178" s="1"/>
      <c r="B178" s="21"/>
      <c r="C178" s="33"/>
      <c r="D178" s="33"/>
      <c r="E178" s="10"/>
      <c r="F178" s="10"/>
      <c r="G178" s="10"/>
      <c r="H178" s="10"/>
      <c r="I178" s="10"/>
      <c r="J178" s="37"/>
    </row>
    <row r="179">
      <c r="A179" s="1"/>
      <c r="B179" s="21"/>
      <c r="C179" s="33"/>
      <c r="D179" s="33"/>
      <c r="E179" s="10"/>
      <c r="F179" s="10"/>
      <c r="G179" s="10"/>
      <c r="H179" s="10"/>
      <c r="I179" s="10"/>
      <c r="J179" s="37"/>
    </row>
    <row r="180">
      <c r="A180" s="1"/>
      <c r="B180" s="21"/>
      <c r="C180" s="33"/>
      <c r="D180" s="33"/>
      <c r="E180" s="10"/>
      <c r="F180" s="10"/>
      <c r="G180" s="10"/>
      <c r="H180" s="10"/>
      <c r="I180" s="10"/>
      <c r="J180" s="37"/>
    </row>
    <row r="181">
      <c r="A181" s="1"/>
      <c r="B181" s="21"/>
      <c r="C181" s="33"/>
      <c r="D181" s="33"/>
      <c r="E181" s="10"/>
      <c r="F181" s="10"/>
      <c r="G181" s="10"/>
      <c r="H181" s="10"/>
      <c r="I181" s="10"/>
      <c r="J181" s="37"/>
    </row>
    <row r="182">
      <c r="A182" s="1"/>
      <c r="B182" s="21"/>
      <c r="C182" s="33"/>
      <c r="D182" s="33"/>
      <c r="E182" s="10"/>
      <c r="F182" s="10"/>
      <c r="G182" s="10"/>
      <c r="H182" s="10"/>
      <c r="I182" s="10"/>
      <c r="J182" s="37"/>
    </row>
    <row r="183">
      <c r="A183" s="1"/>
      <c r="B183" s="21"/>
      <c r="C183" s="33"/>
      <c r="D183" s="33"/>
      <c r="E183" s="10"/>
      <c r="F183" s="10"/>
      <c r="G183" s="10"/>
      <c r="H183" s="10"/>
      <c r="I183" s="10"/>
      <c r="J183" s="37"/>
    </row>
    <row r="184">
      <c r="A184" s="1"/>
      <c r="B184" s="21"/>
      <c r="C184" s="33"/>
      <c r="D184" s="33"/>
      <c r="E184" s="10"/>
      <c r="F184" s="10"/>
      <c r="G184" s="10"/>
      <c r="H184" s="10"/>
      <c r="I184" s="10"/>
      <c r="J184" s="37"/>
    </row>
    <row r="185">
      <c r="A185" s="1"/>
      <c r="B185" s="21"/>
      <c r="C185" s="33"/>
      <c r="D185" s="33"/>
      <c r="E185" s="10"/>
      <c r="F185" s="10"/>
      <c r="G185" s="10"/>
      <c r="H185" s="10"/>
      <c r="I185" s="37"/>
      <c r="J185" s="37"/>
    </row>
    <row r="186">
      <c r="A186" s="1"/>
      <c r="B186" s="21"/>
      <c r="C186" s="33"/>
      <c r="D186" s="33"/>
      <c r="E186" s="10"/>
      <c r="F186" s="10"/>
      <c r="G186" s="10"/>
      <c r="H186" s="10"/>
      <c r="I186" s="37"/>
      <c r="J186" s="37"/>
    </row>
    <row r="187">
      <c r="A187" s="1"/>
      <c r="B187" s="21"/>
      <c r="C187" s="33"/>
      <c r="D187" s="33"/>
      <c r="E187" s="10"/>
      <c r="F187" s="10"/>
      <c r="G187" s="10"/>
      <c r="H187" s="10"/>
      <c r="I187" s="37"/>
      <c r="J187" s="37"/>
    </row>
  </sheetData>
  <mergeCells count="10">
    <mergeCell ref="C43:C45"/>
    <mergeCell ref="C46:C48"/>
    <mergeCell ref="E70:E72"/>
    <mergeCell ref="C25:C29"/>
    <mergeCell ref="C30:C31"/>
    <mergeCell ref="C32:C33"/>
    <mergeCell ref="C34:C35"/>
    <mergeCell ref="C36:C37"/>
    <mergeCell ref="C38:C39"/>
    <mergeCell ref="C40:C42"/>
  </mergeCells>
  <dataValidations>
    <dataValidation type="list" allowBlank="1" sqref="H185:H187">
      <formula1>#REF!</formula1>
    </dataValidation>
    <dataValidation type="list" allowBlank="1" showErrorMessage="1" sqref="I24:I187">
      <formula1>"正常系,異常系"</formula1>
    </dataValidation>
    <dataValidation type="list" allowBlank="1" sqref="H24:H184">
      <formula1>"全画面チェック,境界値チェック,テキストチェック,フリーテスト,プッシュ通知,セキュリティ,シナリオテスト,影響テスト,入力バリデーションチェック,通信チェック,権利周りチェック"</formula1>
    </dataValidation>
    <dataValidation type="list" allowBlank="1" showErrorMessage="1" sqref="J24:J187">
      <formula1>"低,中,高"</formula1>
    </dataValidation>
  </dataValidations>
  <hyperlinks>
    <hyperlink r:id="rId1" ref="B22"/>
    <hyperlink r:id="rId2" ref="G28"/>
  </hyperlinks>
  <drawing r:id="rId3"/>
</worksheet>
</file>